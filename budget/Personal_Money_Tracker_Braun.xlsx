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is Month" sheetId="1" state="visible" r:id="rId1"/>
    <sheet name="Log" sheetId="2" state="visible" r:id="rId2"/>
    <sheet name="Plan" sheetId="3" state="visible" r:id="rId3"/>
    <sheet name="Balances" sheetId="4" state="visible" r:id="rId4"/>
    <sheet name="Lists" sheetId="5" state="hidden" r:id="rId5"/>
  </sheets>
  <definedNames>
    <definedName name="_xlnm._FilterDatabase" localSheetId="1" hidden="1">'Log'!$A$4:$H$311</definedName>
  </definedNames>
  <calcPr calcId="124519" fullCalcOnLoad="1"/>
</workbook>
</file>

<file path=xl/styles.xml><?xml version="1.0" encoding="utf-8"?>
<styleSheet xmlns="http://schemas.openxmlformats.org/spreadsheetml/2006/main">
  <numFmts count="5">
    <numFmt numFmtId="164" formatCode="YYYY-MM-DD"/>
    <numFmt numFmtId="165" formatCode="&quot;$&quot;#,##0.00"/>
    <numFmt numFmtId="166" formatCode="yyyy-mm-dd"/>
    <numFmt numFmtId="167" formatCode="MMM YYYY"/>
    <numFmt numFmtId="168" formatCode="D MMM"/>
  </numFmts>
  <fonts count="11">
    <font>
      <name val="Calibri"/>
      <family val="2"/>
      <color theme="1"/>
      <sz val="11"/>
      <scheme val="minor"/>
    </font>
    <font>
      <name val="Arial"/>
      <b val="1"/>
      <color rgb="006E6E6E"/>
      <sz val="9"/>
    </font>
    <font>
      <name val="Arial"/>
      <b val="1"/>
      <color rgb="001A1A1A"/>
      <sz val="20"/>
    </font>
    <font>
      <name val="Arial"/>
      <color rgb="006E6E6E"/>
      <sz val="9"/>
    </font>
    <font>
      <name val="Arial"/>
      <b val="1"/>
      <color rgb="001A1A1A"/>
      <sz val="9"/>
    </font>
    <font>
      <name val="Arial"/>
      <color rgb="001A1A1A"/>
      <sz val="11"/>
    </font>
    <font>
      <name val="Arial"/>
      <b val="1"/>
      <color rgb="006E6E6E"/>
      <sz val="8"/>
    </font>
    <font>
      <name val="Arial"/>
      <b val="1"/>
      <color rgb="001A1A1A"/>
      <sz val="11"/>
    </font>
    <font>
      <name val="Arial"/>
      <b val="1"/>
      <color rgb="001A1A1A"/>
      <sz val="16"/>
    </font>
    <font>
      <name val="Arial"/>
      <b val="1"/>
      <color rgb="001A1A1A"/>
      <sz val="14"/>
    </font>
    <font>
      <name val="Arial"/>
      <b val="1"/>
      <color rgb="00E35205"/>
      <sz val="28"/>
    </font>
  </fonts>
  <fills count="3">
    <fill>
      <patternFill/>
    </fill>
    <fill>
      <patternFill patternType="gray125"/>
    </fill>
    <fill>
      <patternFill patternType="solid">
        <fgColor rgb="00F7F6F2"/>
      </patternFill>
    </fill>
  </fills>
  <borders count="4">
    <border>
      <left/>
      <right/>
      <top/>
      <bottom/>
      <diagonal/>
    </border>
    <border>
      <bottom style="medium">
        <color rgb="001A1A1A"/>
      </bottom>
    </border>
    <border>
      <bottom style="thin">
        <color rgb="00D6D6D6"/>
      </bottom>
    </border>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8" fillId="2" borderId="1" pivotButton="0" quotePrefix="0" xfId="0"/>
    <xf numFmtId="167" fontId="5" fillId="0" borderId="0" pivotButton="0" quotePrefix="0" xfId="0"/>
    <xf numFmtId="168" fontId="5" fillId="0" borderId="0" pivotButton="0" quotePrefix="0" xfId="0"/>
    <xf numFmtId="0" fontId="4" fillId="0" borderId="1" pivotButton="0" quotePrefix="0" xfId="0"/>
    <xf numFmtId="0" fontId="5" fillId="0" borderId="2" pivotButton="0" quotePrefix="0" xfId="0"/>
    <xf numFmtId="165" fontId="0" fillId="0" borderId="2" pivotButton="0" quotePrefix="0" xfId="0"/>
    <xf numFmtId="165" fontId="10" fillId="0" borderId="0" pivotButton="0" quotePrefix="0" xfId="0"/>
    <xf numFmtId="165" fontId="9" fillId="0" borderId="2" pivotButton="0" quotePrefix="0" xfId="0"/>
    <xf numFmtId="165" fontId="3" fillId="0" borderId="2" pivotButton="0" quotePrefix="0" xfId="0"/>
    <xf numFmtId="165" fontId="9" fillId="0" borderId="0" pivotButton="0" quotePrefix="0" xfId="0"/>
    <xf numFmtId="0" fontId="7" fillId="0" borderId="1" pivotButton="0" quotePrefix="0" xfId="0"/>
    <xf numFmtId="165" fontId="7" fillId="0" borderId="1" pivotButton="0" quotePrefix="0" xfId="0"/>
    <xf numFmtId="164" fontId="5" fillId="2" borderId="2" pivotButton="0" quotePrefix="0" xfId="0"/>
    <xf numFmtId="0" fontId="5" fillId="2" borderId="2" pivotButton="0" quotePrefix="0" xfId="0"/>
    <xf numFmtId="165" fontId="5" fillId="2" borderId="2" pivotButton="0" quotePrefix="0" xfId="0"/>
    <xf numFmtId="164" fontId="6" fillId="0" borderId="3" pivotButton="0" quotePrefix="0" xfId="0"/>
    <xf numFmtId="0" fontId="5" fillId="0" borderId="3" pivotButton="0" quotePrefix="0" xfId="0"/>
    <xf numFmtId="165" fontId="5" fillId="0" borderId="3" pivotButton="0" quotePrefix="0" xfId="0"/>
    <xf numFmtId="164" fontId="5" fillId="0" borderId="2" pivotButton="0" quotePrefix="0" xfId="0"/>
    <xf numFmtId="165" fontId="5" fillId="0" borderId="2" pivotButton="0" quotePrefix="0" xfId="0"/>
    <xf numFmtId="164" fontId="0" fillId="0" borderId="2" pivotButton="0" quotePrefix="0" xfId="0"/>
    <xf numFmtId="0" fontId="0" fillId="0" borderId="2" pivotButton="0" quotePrefix="0" xfId="0"/>
    <xf numFmtId="165" fontId="0" fillId="2" borderId="2" pivotButton="0" quotePrefix="0" xfId="0"/>
    <xf numFmtId="165" fontId="8" fillId="0" borderId="1" pivotButton="0" quotePrefix="0" xfId="0"/>
    <xf numFmtId="165" fontId="0" fillId="0" borderId="0" pivotButton="0" quotePrefix="0" xfId="0"/>
    <xf numFmtId="165" fontId="9" fillId="0" borderId="1" pivotButton="0" quotePrefix="0" xfId="0"/>
    <xf numFmtId="0" fontId="3" fillId="0" borderId="2" pivotButton="0" quotePrefix="0" xfId="0"/>
    <xf numFmtId="0" fontId="3" fillId="2" borderId="2" pivotButton="0" quotePrefix="0" xfId="0"/>
  </cellXfs>
  <cellStyles count="1">
    <cellStyle name="Normal" xfId="0" builtinId="0" hidden="0"/>
  </cellStyles>
  <dxfs count="1">
    <dxf>
      <font>
        <name val="Arial"/>
        <b val="1"/>
        <color rgb="00E35205"/>
        <sz val="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3" customWidth="1" min="5" max="5"/>
    <col width="18" customWidth="1" min="6" max="6"/>
    <col width="12" customWidth="1" min="7" max="7"/>
    <col width="12" customWidth="1" min="8" max="8"/>
  </cols>
  <sheetData>
    <row r="1">
      <c r="A1" s="1" t="inlineStr">
        <is>
          <t>MONEY</t>
        </is>
      </c>
    </row>
    <row r="2" ht="28" customHeight="1">
      <c r="A2" s="2" t="inlineStr">
        <is>
          <t>This month</t>
        </is>
      </c>
    </row>
    <row r="3">
      <c r="A3" s="3" t="inlineStr">
        <is>
          <t>Bills (rent/subs) auto-count. You only log day-to-day on Log.</t>
        </is>
      </c>
    </row>
    <row r="5">
      <c r="A5" s="4" t="inlineStr">
        <is>
          <t>YEAR</t>
        </is>
      </c>
      <c r="B5" s="4" t="inlineStr">
        <is>
          <t>MONTH</t>
        </is>
      </c>
      <c r="C5" s="4" t="inlineStr">
        <is>
          <t>PERIOD</t>
        </is>
      </c>
      <c r="F5" s="4" t="inlineStr">
        <is>
          <t>BALANCES</t>
        </is>
      </c>
    </row>
    <row r="6">
      <c r="A6" s="5" t="n">
        <v>2026</v>
      </c>
      <c r="B6" s="5" t="n">
        <v>7</v>
      </c>
      <c r="C6" s="6">
        <f>DATE(A6,B6,1)</f>
        <v/>
      </c>
      <c r="D6" s="7">
        <f>EOMONTH(C6,0)</f>
        <v/>
      </c>
      <c r="F6" s="8" t="inlineStr">
        <is>
          <t>ACCOUNT</t>
        </is>
      </c>
      <c r="G6" s="8" t="inlineStr">
        <is>
          <t>HAVE</t>
        </is>
      </c>
      <c r="H6" s="8" t="inlineStr">
        <is>
          <t>OWE</t>
        </is>
      </c>
    </row>
    <row r="7">
      <c r="F7" s="9">
        <f>Balances!A5</f>
        <v/>
      </c>
      <c r="G7" s="10">
        <f>Balances!B5</f>
        <v/>
      </c>
      <c r="H7" s="10">
        <f>Balances!C5</f>
        <v/>
      </c>
    </row>
    <row r="8">
      <c r="A8" s="4" t="inlineStr">
        <is>
          <t>REMAINING</t>
        </is>
      </c>
      <c r="F8" s="9">
        <f>Balances!A6</f>
        <v/>
      </c>
      <c r="G8" s="10">
        <f>Balances!B6</f>
        <v/>
      </c>
      <c r="H8" s="10">
        <f>Balances!C6</f>
        <v/>
      </c>
    </row>
    <row r="9" ht="40" customHeight="1">
      <c r="A9" s="11">
        <f>'Plan'!B20-'Plan'!B21-B12</f>
        <v/>
      </c>
      <c r="F9" s="9">
        <f>Balances!A7</f>
        <v/>
      </c>
      <c r="G9" s="10">
        <f>Balances!B7</f>
        <v/>
      </c>
      <c r="H9" s="10">
        <f>Balances!C7</f>
        <v/>
      </c>
    </row>
    <row r="10">
      <c r="A10" s="3" t="inlineStr">
        <is>
          <t>Income − automatic bills − day-to-day logged this month</t>
        </is>
      </c>
      <c r="F10" s="9">
        <f>Balances!A8</f>
        <v/>
      </c>
      <c r="G10" s="10">
        <f>Balances!B8</f>
        <v/>
      </c>
      <c r="H10" s="10">
        <f>Balances!C8</f>
        <v/>
      </c>
    </row>
    <row r="11">
      <c r="A11" s="4" t="inlineStr">
        <is>
          <t>IN</t>
        </is>
      </c>
      <c r="B11" s="4" t="inlineStr">
        <is>
          <t>DAY-TO-DAY</t>
        </is>
      </c>
      <c r="C11" s="4" t="inlineStr">
        <is>
          <t>BILLS (AUTO)</t>
        </is>
      </c>
      <c r="D11" s="4" t="inlineStr">
        <is>
          <t>NET LOGGED</t>
        </is>
      </c>
      <c r="F11" s="9">
        <f>Balances!A9</f>
        <v/>
      </c>
      <c r="G11" s="10">
        <f>Balances!B9</f>
        <v/>
      </c>
      <c r="H11" s="10">
        <f>Balances!C9</f>
        <v/>
      </c>
    </row>
    <row r="12">
      <c r="A12" s="12">
        <f>SUMIFS(Log!$C$5:$C$311,Log!$D$5:$D$311,"Income",Log!$A$5:$A$311,"&gt;="&amp;$C$6,Log!$A$5:$A$311,"&lt;="&amp;$D$6)</f>
        <v/>
      </c>
      <c r="B12" s="12">
        <f>SUMIFS(Log!$C$5:$C$311,Log!$D$5:$D$311,"Expense",Log!$A$5:$A$311,"&gt;="&amp;$C$6,Log!$A$5:$A$311,"&lt;="&amp;$D$6)</f>
        <v/>
      </c>
      <c r="C12" s="12">
        <f>'Plan'!B21</f>
        <v/>
      </c>
      <c r="D12" s="12">
        <f>A12-B12</f>
        <v/>
      </c>
      <c r="F12" s="9">
        <f>Balances!A10</f>
        <v/>
      </c>
      <c r="G12" s="10">
        <f>Balances!B10</f>
        <v/>
      </c>
      <c r="H12" s="10">
        <f>Balances!C10</f>
        <v/>
      </c>
    </row>
    <row r="13">
      <c r="F13" s="9">
        <f>Balances!A11</f>
        <v/>
      </c>
      <c r="G13" s="10">
        <f>Balances!B11</f>
        <v/>
      </c>
      <c r="H13" s="10">
        <f>Balances!C11</f>
        <v/>
      </c>
    </row>
    <row r="14">
      <c r="A14" s="4" t="inlineStr">
        <is>
          <t>BY CATEGORY</t>
        </is>
      </c>
      <c r="F14" s="9">
        <f>Balances!A12</f>
        <v/>
      </c>
      <c r="G14" s="10">
        <f>Balances!B12</f>
        <v/>
      </c>
      <c r="H14" s="10">
        <f>Balances!C12</f>
        <v/>
      </c>
    </row>
    <row r="15">
      <c r="A15" s="8" t="inlineStr">
        <is>
          <t>CATEGORY</t>
        </is>
      </c>
      <c r="B15" s="8" t="inlineStr">
        <is>
          <t>PLAN</t>
        </is>
      </c>
      <c r="C15" s="8" t="inlineStr">
        <is>
          <t>SPENT</t>
        </is>
      </c>
      <c r="D15" s="8" t="inlineStr">
        <is>
          <t>LEFT</t>
        </is>
      </c>
      <c r="F15" s="9">
        <f>Balances!A13</f>
        <v/>
      </c>
      <c r="G15" s="10">
        <f>Balances!B13</f>
        <v/>
      </c>
      <c r="H15" s="10">
        <f>Balances!C13</f>
        <v/>
      </c>
    </row>
    <row r="16">
      <c r="A16" s="9" t="inlineStr">
        <is>
          <t>Rent</t>
        </is>
      </c>
      <c r="B16" s="13">
        <f>IFERROR(VLOOKUP(A16,Plan!$A$6:$B$18,2,FALSE),0)</f>
        <v/>
      </c>
      <c r="C16" s="10">
        <f>SUMIFS(Log!$C$5:$C$311,Log!$E$5:$E$311,A16,Log!$D$5:$D$311,"Expense",Log!$A$5:$A$311,"&gt;="&amp;$C$6,Log!$A$5:$A$311,"&lt;="&amp;$D$6)+IFERROR(VLOOKUP(A16,Plan!$H$6:$I$20,2,FALSE),0)</f>
        <v/>
      </c>
      <c r="D16" s="10">
        <f>B16-C16</f>
        <v/>
      </c>
    </row>
    <row r="17">
      <c r="A17" s="9" t="inlineStr">
        <is>
          <t>Utilities</t>
        </is>
      </c>
      <c r="B17" s="13">
        <f>IFERROR(VLOOKUP(A17,Plan!$A$6:$B$18,2,FALSE),0)</f>
        <v/>
      </c>
      <c r="C17" s="10">
        <f>SUMIFS(Log!$C$5:$C$311,Log!$E$5:$E$311,A17,Log!$D$5:$D$311,"Expense",Log!$A$5:$A$311,"&gt;="&amp;$C$6,Log!$A$5:$A$311,"&lt;="&amp;$D$6)+IFERROR(VLOOKUP(A17,Plan!$H$6:$I$20,2,FALSE),0)</f>
        <v/>
      </c>
      <c r="D17" s="10">
        <f>B17-C17</f>
        <v/>
      </c>
      <c r="F17" s="4" t="inlineStr">
        <is>
          <t>OWED TOTAL</t>
        </is>
      </c>
      <c r="G17" s="14">
        <f>Balances!B15</f>
        <v/>
      </c>
    </row>
    <row r="18">
      <c r="A18" s="9" t="inlineStr">
        <is>
          <t>Subscriptions</t>
        </is>
      </c>
      <c r="B18" s="13">
        <f>IFERROR(VLOOKUP(A18,Plan!$A$6:$B$18,2,FALSE),0)</f>
        <v/>
      </c>
      <c r="C18" s="10">
        <f>SUMIFS(Log!$C$5:$C$311,Log!$E$5:$E$311,A18,Log!$D$5:$D$311,"Expense",Log!$A$5:$A$311,"&gt;="&amp;$C$6,Log!$A$5:$A$311,"&lt;="&amp;$D$6)+IFERROR(VLOOKUP(A18,Plan!$H$6:$I$20,2,FALSE),0)</f>
        <v/>
      </c>
      <c r="D18" s="10">
        <f>B18-C18</f>
        <v/>
      </c>
    </row>
    <row r="19">
      <c r="A19" s="9" t="inlineStr">
        <is>
          <t>Grocery</t>
        </is>
      </c>
      <c r="B19" s="13">
        <f>IFERROR(VLOOKUP(A19,Plan!$A$6:$B$18,2,FALSE),0)</f>
        <v/>
      </c>
      <c r="C19" s="10">
        <f>SUMIFS(Log!$C$5:$C$311,Log!$E$5:$E$311,A19,Log!$D$5:$D$311,"Expense",Log!$A$5:$A$311,"&gt;="&amp;$C$6,Log!$A$5:$A$311,"&lt;="&amp;$D$6)+IFERROR(VLOOKUP(A19,Plan!$H$6:$I$20,2,FALSE),0)</f>
        <v/>
      </c>
      <c r="D19" s="10">
        <f>B19-C19</f>
        <v/>
      </c>
    </row>
    <row r="20">
      <c r="A20" s="9" t="inlineStr">
        <is>
          <t>Dining</t>
        </is>
      </c>
      <c r="B20" s="13">
        <f>IFERROR(VLOOKUP(A20,Plan!$A$6:$B$18,2,FALSE),0)</f>
        <v/>
      </c>
      <c r="C20" s="10">
        <f>SUMIFS(Log!$C$5:$C$311,Log!$E$5:$E$311,A20,Log!$D$5:$D$311,"Expense",Log!$A$5:$A$311,"&gt;="&amp;$C$6,Log!$A$5:$A$311,"&lt;="&amp;$D$6)+IFERROR(VLOOKUP(A20,Plan!$H$6:$I$20,2,FALSE),0)</f>
        <v/>
      </c>
      <c r="D20" s="10">
        <f>B20-C20</f>
        <v/>
      </c>
    </row>
    <row r="21">
      <c r="A21" s="9" t="inlineStr">
        <is>
          <t>Transit</t>
        </is>
      </c>
      <c r="B21" s="13">
        <f>IFERROR(VLOOKUP(A21,Plan!$A$6:$B$18,2,FALSE),0)</f>
        <v/>
      </c>
      <c r="C21" s="10">
        <f>SUMIFS(Log!$C$5:$C$311,Log!$E$5:$E$311,A21,Log!$D$5:$D$311,"Expense",Log!$A$5:$A$311,"&gt;="&amp;$C$6,Log!$A$5:$A$311,"&lt;="&amp;$D$6)+IFERROR(VLOOKUP(A21,Plan!$H$6:$I$20,2,FALSE),0)</f>
        <v/>
      </c>
      <c r="D21" s="10">
        <f>B21-C21</f>
        <v/>
      </c>
    </row>
    <row r="22">
      <c r="A22" s="9" t="inlineStr">
        <is>
          <t>Shopping</t>
        </is>
      </c>
      <c r="B22" s="13">
        <f>IFERROR(VLOOKUP(A22,Plan!$A$6:$B$18,2,FALSE),0)</f>
        <v/>
      </c>
      <c r="C22" s="10">
        <f>SUMIFS(Log!$C$5:$C$311,Log!$E$5:$E$311,A22,Log!$D$5:$D$311,"Expense",Log!$A$5:$A$311,"&gt;="&amp;$C$6,Log!$A$5:$A$311,"&lt;="&amp;$D$6)+IFERROR(VLOOKUP(A22,Plan!$H$6:$I$20,2,FALSE),0)</f>
        <v/>
      </c>
      <c r="D22" s="10">
        <f>B22-C22</f>
        <v/>
      </c>
    </row>
    <row r="23">
      <c r="A23" s="9" t="inlineStr">
        <is>
          <t>Personal</t>
        </is>
      </c>
      <c r="B23" s="13">
        <f>IFERROR(VLOOKUP(A23,Plan!$A$6:$B$18,2,FALSE),0)</f>
        <v/>
      </c>
      <c r="C23" s="10">
        <f>SUMIFS(Log!$C$5:$C$311,Log!$E$5:$E$311,A23,Log!$D$5:$D$311,"Expense",Log!$A$5:$A$311,"&gt;="&amp;$C$6,Log!$A$5:$A$311,"&lt;="&amp;$D$6)+IFERROR(VLOOKUP(A23,Plan!$H$6:$I$20,2,FALSE),0)</f>
        <v/>
      </c>
      <c r="D23" s="10">
        <f>B23-C23</f>
        <v/>
      </c>
    </row>
    <row r="24">
      <c r="A24" s="9" t="inlineStr">
        <is>
          <t>Home</t>
        </is>
      </c>
      <c r="B24" s="13">
        <f>IFERROR(VLOOKUP(A24,Plan!$A$6:$B$18,2,FALSE),0)</f>
        <v/>
      </c>
      <c r="C24" s="10">
        <f>SUMIFS(Log!$C$5:$C$311,Log!$E$5:$E$311,A24,Log!$D$5:$D$311,"Expense",Log!$A$5:$A$311,"&gt;="&amp;$C$6,Log!$A$5:$A$311,"&lt;="&amp;$D$6)+IFERROR(VLOOKUP(A24,Plan!$H$6:$I$20,2,FALSE),0)</f>
        <v/>
      </c>
      <c r="D24" s="10">
        <f>B24-C24</f>
        <v/>
      </c>
    </row>
    <row r="25">
      <c r="A25" s="9" t="inlineStr">
        <is>
          <t>Health</t>
        </is>
      </c>
      <c r="B25" s="13">
        <f>IFERROR(VLOOKUP(A25,Plan!$A$6:$B$18,2,FALSE),0)</f>
        <v/>
      </c>
      <c r="C25" s="10">
        <f>SUMIFS(Log!$C$5:$C$311,Log!$E$5:$E$311,A25,Log!$D$5:$D$311,"Expense",Log!$A$5:$A$311,"&gt;="&amp;$C$6,Log!$A$5:$A$311,"&lt;="&amp;$D$6)+IFERROR(VLOOKUP(A25,Plan!$H$6:$I$20,2,FALSE),0)</f>
        <v/>
      </c>
      <c r="D25" s="10">
        <f>B25-C25</f>
        <v/>
      </c>
    </row>
    <row r="26">
      <c r="A26" s="9" t="inlineStr">
        <is>
          <t>Entertainment</t>
        </is>
      </c>
      <c r="B26" s="13">
        <f>IFERROR(VLOOKUP(A26,Plan!$A$6:$B$18,2,FALSE),0)</f>
        <v/>
      </c>
      <c r="C26" s="10">
        <f>SUMIFS(Log!$C$5:$C$311,Log!$E$5:$E$311,A26,Log!$D$5:$D$311,"Expense",Log!$A$5:$A$311,"&gt;="&amp;$C$6,Log!$A$5:$A$311,"&lt;="&amp;$D$6)+IFERROR(VLOOKUP(A26,Plan!$H$6:$I$20,2,FALSE),0)</f>
        <v/>
      </c>
      <c r="D26" s="10">
        <f>B26-C26</f>
        <v/>
      </c>
    </row>
    <row r="27">
      <c r="A27" s="9" t="inlineStr">
        <is>
          <t>Savings</t>
        </is>
      </c>
      <c r="B27" s="13">
        <f>IFERROR(VLOOKUP(A27,Plan!$A$6:$B$18,2,FALSE),0)</f>
        <v/>
      </c>
      <c r="C27" s="10">
        <f>SUMIFS(Log!$C$5:$C$311,Log!$E$5:$E$311,A27,Log!$D$5:$D$311,"Expense",Log!$A$5:$A$311,"&gt;="&amp;$C$6,Log!$A$5:$A$311,"&lt;="&amp;$D$6)+IFERROR(VLOOKUP(A27,Plan!$H$6:$I$20,2,FALSE),0)</f>
        <v/>
      </c>
      <c r="D27" s="10">
        <f>B27-C27</f>
        <v/>
      </c>
    </row>
    <row r="28">
      <c r="A28" s="9" t="inlineStr">
        <is>
          <t>Misc</t>
        </is>
      </c>
      <c r="B28" s="13">
        <f>IFERROR(VLOOKUP(A28,Plan!$A$6:$B$18,2,FALSE),0)</f>
        <v/>
      </c>
      <c r="C28" s="10">
        <f>SUMIFS(Log!$C$5:$C$311,Log!$E$5:$E$311,A28,Log!$D$5:$D$311,"Expense",Log!$A$5:$A$311,"&gt;="&amp;$C$6,Log!$A$5:$A$311,"&lt;="&amp;$D$6)+IFERROR(VLOOKUP(A28,Plan!$H$6:$I$20,2,FALSE),0)</f>
        <v/>
      </c>
      <c r="D28" s="10">
        <f>B28-C28</f>
        <v/>
      </c>
    </row>
    <row r="29">
      <c r="A29" s="15" t="inlineStr">
        <is>
          <t>TOTAL</t>
        </is>
      </c>
      <c r="B29" s="16">
        <f>SUM(B16:B28)</f>
        <v/>
      </c>
      <c r="C29" s="16">
        <f>SUM(C16:C28)</f>
        <v/>
      </c>
      <c r="D29" s="16">
        <f>B29-C29</f>
        <v/>
      </c>
    </row>
    <row r="35">
      <c r="A35" s="3" t="inlineStr">
        <is>
          <t>Flip month above · Log only day-to-day · Rent &amp; subs auto-count from Plan</t>
        </is>
      </c>
    </row>
  </sheetData>
  <mergeCells count="3">
    <mergeCell ref="A10:D10"/>
    <mergeCell ref="A35:D35"/>
    <mergeCell ref="A3:D3"/>
  </mergeCells>
  <conditionalFormatting sqref="D16:D28">
    <cfRule type="cellIs" priority="1" operator="lessThan" dxfId="0">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1"/>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1" customWidth="1" min="3" max="3"/>
    <col width="10" customWidth="1" min="4" max="4"/>
    <col width="14" customWidth="1" min="5" max="5"/>
    <col width="16" customWidth="1" min="6" max="6"/>
    <col width="13" customWidth="1" min="7" max="7"/>
    <col width="36" customWidth="1" min="8" max="8"/>
  </cols>
  <sheetData>
    <row r="1">
      <c r="A1" s="1" t="inlineStr">
        <is>
          <t>MONEY</t>
        </is>
      </c>
    </row>
    <row r="2" ht="28" customHeight="1">
      <c r="A2" s="2" t="inlineStr">
        <is>
          <t>Log</t>
        </is>
      </c>
    </row>
    <row r="3">
      <c r="A3" s="3" t="inlineStr">
        <is>
          <t>Day-to-day only (coffee, bodega, grocery, shopping). Rent &amp; subscriptions auto-count from Plan — do not log those here.</t>
        </is>
      </c>
    </row>
    <row r="4">
      <c r="A4" s="8" t="inlineStr">
        <is>
          <t>DATE</t>
        </is>
      </c>
      <c r="B4" s="8" t="inlineStr">
        <is>
          <t>WHAT</t>
        </is>
      </c>
      <c r="C4" s="8" t="inlineStr">
        <is>
          <t>AMOUNT</t>
        </is>
      </c>
      <c r="D4" s="8" t="inlineStr">
        <is>
          <t>TYPE</t>
        </is>
      </c>
      <c r="E4" s="8" t="inlineStr">
        <is>
          <t>CATEGORY</t>
        </is>
      </c>
      <c r="F4" s="8" t="inlineStr">
        <is>
          <t>ACCOUNT</t>
        </is>
      </c>
      <c r="G4" s="8" t="inlineStr">
        <is>
          <t>WHO</t>
        </is>
      </c>
      <c r="H4" s="8" t="inlineStr">
        <is>
          <t>NOTE</t>
        </is>
      </c>
    </row>
    <row r="5">
      <c r="A5" s="17" t="n"/>
      <c r="B5" s="18" t="n"/>
      <c r="C5" s="19" t="n"/>
      <c r="D5" s="18" t="inlineStr">
        <is>
          <t>Expense</t>
        </is>
      </c>
      <c r="E5" s="18" t="n"/>
      <c r="F5" s="18" t="inlineStr">
        <is>
          <t>Checking</t>
        </is>
      </c>
      <c r="G5" s="18" t="inlineStr">
        <is>
          <t>Roberto</t>
        </is>
      </c>
      <c r="H5" s="18" t="n"/>
    </row>
    <row r="6">
      <c r="A6" s="17" t="n"/>
      <c r="B6" s="18" t="n"/>
      <c r="C6" s="19" t="n"/>
      <c r="D6" s="18" t="inlineStr">
        <is>
          <t>Expense</t>
        </is>
      </c>
      <c r="E6" s="18" t="n"/>
      <c r="F6" s="18" t="inlineStr">
        <is>
          <t>Checking</t>
        </is>
      </c>
      <c r="G6" s="18" t="inlineStr">
        <is>
          <t>Roberto</t>
        </is>
      </c>
      <c r="H6" s="18" t="n"/>
    </row>
    <row r="7">
      <c r="A7" s="17" t="n"/>
      <c r="B7" s="18" t="n"/>
      <c r="C7" s="19" t="n"/>
      <c r="D7" s="18" t="inlineStr">
        <is>
          <t>Expense</t>
        </is>
      </c>
      <c r="E7" s="18" t="n"/>
      <c r="F7" s="18" t="inlineStr">
        <is>
          <t>Checking</t>
        </is>
      </c>
      <c r="G7" s="18" t="inlineStr">
        <is>
          <t>Roberto</t>
        </is>
      </c>
      <c r="H7" s="18" t="n"/>
    </row>
    <row r="8">
      <c r="A8" s="17" t="n"/>
      <c r="B8" s="18" t="n"/>
      <c r="C8" s="19" t="n"/>
      <c r="D8" s="18" t="inlineStr">
        <is>
          <t>Expense</t>
        </is>
      </c>
      <c r="E8" s="18" t="n"/>
      <c r="F8" s="18" t="inlineStr">
        <is>
          <t>Checking</t>
        </is>
      </c>
      <c r="G8" s="18" t="inlineStr">
        <is>
          <t>Roberto</t>
        </is>
      </c>
      <c r="H8" s="18" t="n"/>
    </row>
    <row r="9">
      <c r="A9" s="17" t="n"/>
      <c r="B9" s="18" t="n"/>
      <c r="C9" s="19" t="n"/>
      <c r="D9" s="18" t="inlineStr">
        <is>
          <t>Expense</t>
        </is>
      </c>
      <c r="E9" s="18" t="n"/>
      <c r="F9" s="18" t="inlineStr">
        <is>
          <t>Checking</t>
        </is>
      </c>
      <c r="G9" s="18" t="inlineStr">
        <is>
          <t>Roberto</t>
        </is>
      </c>
      <c r="H9" s="18" t="n"/>
    </row>
    <row r="10">
      <c r="A10" s="17" t="n"/>
      <c r="B10" s="18" t="n"/>
      <c r="C10" s="19" t="n"/>
      <c r="D10" s="18" t="inlineStr">
        <is>
          <t>Expense</t>
        </is>
      </c>
      <c r="E10" s="18" t="n"/>
      <c r="F10" s="18" t="inlineStr">
        <is>
          <t>Checking</t>
        </is>
      </c>
      <c r="G10" s="18" t="inlineStr">
        <is>
          <t>Roberto</t>
        </is>
      </c>
      <c r="H10" s="18" t="n"/>
    </row>
    <row r="11">
      <c r="A11" s="17" t="n"/>
      <c r="B11" s="18" t="n"/>
      <c r="C11" s="19" t="n"/>
      <c r="D11" s="18" t="inlineStr">
        <is>
          <t>Expense</t>
        </is>
      </c>
      <c r="E11" s="18" t="n"/>
      <c r="F11" s="18" t="inlineStr">
        <is>
          <t>Checking</t>
        </is>
      </c>
      <c r="G11" s="18" t="inlineStr">
        <is>
          <t>Roberto</t>
        </is>
      </c>
      <c r="H11" s="18" t="n"/>
    </row>
    <row r="12">
      <c r="A12" s="17" t="n"/>
      <c r="B12" s="18" t="n"/>
      <c r="C12" s="19" t="n"/>
      <c r="D12" s="18" t="inlineStr">
        <is>
          <t>Expense</t>
        </is>
      </c>
      <c r="E12" s="18" t="n"/>
      <c r="F12" s="18" t="inlineStr">
        <is>
          <t>Checking</t>
        </is>
      </c>
      <c r="G12" s="18" t="inlineStr">
        <is>
          <t>Roberto</t>
        </is>
      </c>
      <c r="H12" s="18" t="n"/>
    </row>
    <row r="13">
      <c r="A13" s="17" t="n"/>
      <c r="B13" s="18" t="n"/>
      <c r="C13" s="19" t="n"/>
      <c r="D13" s="18" t="inlineStr">
        <is>
          <t>Expense</t>
        </is>
      </c>
      <c r="E13" s="18" t="n"/>
      <c r="F13" s="18" t="inlineStr">
        <is>
          <t>Checking</t>
        </is>
      </c>
      <c r="G13" s="18" t="inlineStr">
        <is>
          <t>Roberto</t>
        </is>
      </c>
      <c r="H13" s="18" t="n"/>
    </row>
    <row r="14">
      <c r="A14" s="17" t="n"/>
      <c r="B14" s="18" t="n"/>
      <c r="C14" s="19" t="n"/>
      <c r="D14" s="18" t="inlineStr">
        <is>
          <t>Expense</t>
        </is>
      </c>
      <c r="E14" s="18" t="n"/>
      <c r="F14" s="18" t="inlineStr">
        <is>
          <t>Checking</t>
        </is>
      </c>
      <c r="G14" s="18" t="inlineStr">
        <is>
          <t>Roberto</t>
        </is>
      </c>
      <c r="H14" s="18" t="n"/>
    </row>
    <row r="15">
      <c r="A15" s="17" t="n"/>
      <c r="B15" s="18" t="n"/>
      <c r="C15" s="19" t="n"/>
      <c r="D15" s="18" t="inlineStr">
        <is>
          <t>Expense</t>
        </is>
      </c>
      <c r="E15" s="18" t="n"/>
      <c r="F15" s="18" t="inlineStr">
        <is>
          <t>Checking</t>
        </is>
      </c>
      <c r="G15" s="18" t="inlineStr">
        <is>
          <t>Roberto</t>
        </is>
      </c>
      <c r="H15" s="18" t="n"/>
    </row>
    <row r="16">
      <c r="A16" s="17" t="n"/>
      <c r="B16" s="18" t="n"/>
      <c r="C16" s="19" t="n"/>
      <c r="D16" s="18" t="inlineStr">
        <is>
          <t>Expense</t>
        </is>
      </c>
      <c r="E16" s="18" t="n"/>
      <c r="F16" s="18" t="inlineStr">
        <is>
          <t>Checking</t>
        </is>
      </c>
      <c r="G16" s="18" t="inlineStr">
        <is>
          <t>Roberto</t>
        </is>
      </c>
      <c r="H16" s="18" t="n"/>
    </row>
    <row r="17">
      <c r="A17" s="17" t="n"/>
      <c r="B17" s="18" t="n"/>
      <c r="C17" s="19" t="n"/>
      <c r="D17" s="18" t="inlineStr">
        <is>
          <t>Expense</t>
        </is>
      </c>
      <c r="E17" s="18" t="n"/>
      <c r="F17" s="18" t="inlineStr">
        <is>
          <t>Checking</t>
        </is>
      </c>
      <c r="G17" s="18" t="inlineStr">
        <is>
          <t>Roberto</t>
        </is>
      </c>
      <c r="H17" s="18" t="n"/>
    </row>
    <row r="18">
      <c r="A18" s="17" t="n"/>
      <c r="B18" s="18" t="n"/>
      <c r="C18" s="19" t="n"/>
      <c r="D18" s="18" t="inlineStr">
        <is>
          <t>Expense</t>
        </is>
      </c>
      <c r="E18" s="18" t="n"/>
      <c r="F18" s="18" t="inlineStr">
        <is>
          <t>Checking</t>
        </is>
      </c>
      <c r="G18" s="18" t="inlineStr">
        <is>
          <t>Roberto</t>
        </is>
      </c>
      <c r="H18" s="18" t="n"/>
    </row>
    <row r="19">
      <c r="A19" s="20" t="inlineStr">
        <is>
          <t>HISTORY</t>
        </is>
      </c>
      <c r="B19" s="21" t="n"/>
      <c r="C19" s="22" t="n"/>
      <c r="D19" s="21" t="n"/>
      <c r="E19" s="21" t="n"/>
      <c r="F19" s="21" t="n"/>
      <c r="G19" s="21" t="n"/>
      <c r="H19" s="21" t="n"/>
    </row>
    <row r="20">
      <c r="A20" s="23" t="n">
        <v>46163</v>
      </c>
      <c r="B20" s="9" t="inlineStr">
        <is>
          <t>Cat food</t>
        </is>
      </c>
      <c r="C20" s="24" t="n">
        <v>43.4</v>
      </c>
      <c r="D20" s="9" t="inlineStr">
        <is>
          <t>Expense</t>
        </is>
      </c>
      <c r="E20" s="9" t="inlineStr">
        <is>
          <t>Grocery</t>
        </is>
      </c>
      <c r="F20" s="9" t="inlineStr">
        <is>
          <t>Bilt</t>
        </is>
      </c>
      <c r="G20" s="9" t="inlineStr"/>
      <c r="H20" s="9" t="n"/>
    </row>
    <row r="21">
      <c r="A21" s="23" t="n">
        <v>46163</v>
      </c>
      <c r="B21" s="9" t="inlineStr">
        <is>
          <t>Amazon: Protein Bars</t>
        </is>
      </c>
      <c r="C21" s="24" t="n">
        <v>14.99</v>
      </c>
      <c r="D21" s="9" t="inlineStr">
        <is>
          <t>Expense</t>
        </is>
      </c>
      <c r="E21" s="9" t="inlineStr">
        <is>
          <t>Shopping</t>
        </is>
      </c>
      <c r="F21" s="9" t="inlineStr">
        <is>
          <t>Bilt</t>
        </is>
      </c>
      <c r="G21" s="9" t="inlineStr"/>
      <c r="H21" s="9" t="n"/>
    </row>
    <row r="22">
      <c r="A22" s="23" t="n">
        <v>46163</v>
      </c>
      <c r="B22" s="9" t="inlineStr">
        <is>
          <t>Grocery: City Fresh</t>
        </is>
      </c>
      <c r="C22" s="24" t="n">
        <v>39.19</v>
      </c>
      <c r="D22" s="9" t="inlineStr">
        <is>
          <t>Expense</t>
        </is>
      </c>
      <c r="E22" s="9" t="inlineStr">
        <is>
          <t>Grocery</t>
        </is>
      </c>
      <c r="F22" s="9" t="inlineStr">
        <is>
          <t>Bilt</t>
        </is>
      </c>
      <c r="G22" s="9" t="inlineStr"/>
      <c r="H22" s="9" t="n"/>
    </row>
    <row r="23">
      <c r="A23" s="23" t="n">
        <v>46163</v>
      </c>
      <c r="B23" s="9" t="inlineStr">
        <is>
          <t>Amazon: Toothpast, Chlorophyll, Oil sprayer</t>
        </is>
      </c>
      <c r="C23" s="24" t="n">
        <v>51.01</v>
      </c>
      <c r="D23" s="9" t="inlineStr">
        <is>
          <t>Expense</t>
        </is>
      </c>
      <c r="E23" s="9" t="inlineStr">
        <is>
          <t>Shopping</t>
        </is>
      </c>
      <c r="F23" s="9" t="inlineStr">
        <is>
          <t>Bilt</t>
        </is>
      </c>
      <c r="G23" s="9" t="inlineStr"/>
      <c r="H23" s="9" t="n"/>
    </row>
    <row r="24">
      <c r="A24" s="23" t="n">
        <v>46163</v>
      </c>
      <c r="B24" s="9" t="inlineStr">
        <is>
          <t>Grocery: Green Valley</t>
        </is>
      </c>
      <c r="C24" s="24" t="n">
        <v>21.46</v>
      </c>
      <c r="D24" s="9" t="inlineStr">
        <is>
          <t>Expense</t>
        </is>
      </c>
      <c r="E24" s="9" t="inlineStr">
        <is>
          <t>Grocery</t>
        </is>
      </c>
      <c r="F24" s="9" t="inlineStr">
        <is>
          <t>Bilt</t>
        </is>
      </c>
      <c r="G24" s="9" t="inlineStr"/>
      <c r="H24" s="9" t="n"/>
    </row>
    <row r="25">
      <c r="A25" s="23" t="n">
        <v>46163</v>
      </c>
      <c r="B25" s="9" t="inlineStr">
        <is>
          <t>Rose Glycerin Spray</t>
        </is>
      </c>
      <c r="C25" s="24" t="n">
        <v>11.94</v>
      </c>
      <c r="D25" s="9" t="inlineStr">
        <is>
          <t>Expense</t>
        </is>
      </c>
      <c r="E25" s="9" t="inlineStr">
        <is>
          <t>Shopping</t>
        </is>
      </c>
      <c r="F25" s="9" t="inlineStr">
        <is>
          <t>Bilt</t>
        </is>
      </c>
      <c r="G25" s="9" t="inlineStr"/>
      <c r="H25" s="9" t="n"/>
    </row>
    <row r="26">
      <c r="A26" s="23" t="n">
        <v>46163</v>
      </c>
      <c r="B26" s="9" t="inlineStr">
        <is>
          <t>Grocery: DoorDash</t>
        </is>
      </c>
      <c r="C26" s="24" t="n">
        <v>86</v>
      </c>
      <c r="D26" s="9" t="inlineStr">
        <is>
          <t>Expense</t>
        </is>
      </c>
      <c r="E26" s="9" t="inlineStr">
        <is>
          <t>Grocery</t>
        </is>
      </c>
      <c r="F26" s="9" t="inlineStr">
        <is>
          <t>Bilt</t>
        </is>
      </c>
      <c r="G26" s="9" t="inlineStr"/>
      <c r="H26" s="9" t="n"/>
    </row>
    <row r="27">
      <c r="A27" s="23" t="n">
        <v>46163</v>
      </c>
      <c r="B27" s="9" t="inlineStr">
        <is>
          <t>Klarna</t>
        </is>
      </c>
      <c r="C27" s="24" t="n">
        <v>134.75</v>
      </c>
      <c r="D27" s="9" t="inlineStr">
        <is>
          <t>Expense</t>
        </is>
      </c>
      <c r="E27" s="9" t="inlineStr">
        <is>
          <t>Shopping</t>
        </is>
      </c>
      <c r="F27" s="9" t="inlineStr">
        <is>
          <t>Bilt</t>
        </is>
      </c>
      <c r="G27" s="9" t="inlineStr"/>
      <c r="H27" s="9" t="n"/>
    </row>
    <row r="28">
      <c r="A28" s="23" t="n">
        <v>46125</v>
      </c>
      <c r="B28" s="9" t="inlineStr">
        <is>
          <t>KLARNA*OVERSTOCK 041126</t>
        </is>
      </c>
      <c r="C28" s="24" t="n">
        <v>134.75</v>
      </c>
      <c r="D28" s="9" t="inlineStr">
        <is>
          <t>Expense</t>
        </is>
      </c>
      <c r="E28" s="9" t="inlineStr">
        <is>
          <t>Shopping</t>
        </is>
      </c>
      <c r="F28" s="9" t="inlineStr">
        <is>
          <t>Checking</t>
        </is>
      </c>
      <c r="G28" s="9" t="inlineStr"/>
      <c r="H28" s="9" t="n"/>
    </row>
    <row r="29">
      <c r="A29" s="23" t="n">
        <v>46125</v>
      </c>
      <c r="B29" s="9" t="inlineStr">
        <is>
          <t>SQ *MILK &amp; PULL (RDG 041126</t>
        </is>
      </c>
      <c r="C29" s="24" t="n">
        <v>6.8</v>
      </c>
      <c r="D29" s="9" t="inlineStr">
        <is>
          <t>Expense</t>
        </is>
      </c>
      <c r="E29" s="9" t="inlineStr">
        <is>
          <t>Dining</t>
        </is>
      </c>
      <c r="F29" s="9" t="inlineStr">
        <is>
          <t>Checking</t>
        </is>
      </c>
      <c r="G29" s="9" t="inlineStr"/>
      <c r="H29" s="9" t="n"/>
    </row>
    <row r="30">
      <c r="A30" s="23" t="n">
        <v>46125</v>
      </c>
      <c r="B30" s="9" t="inlineStr">
        <is>
          <t>CITY FRESH MARKET PL 041026</t>
        </is>
      </c>
      <c r="C30" s="24" t="n">
        <v>7.22</v>
      </c>
      <c r="D30" s="9" t="inlineStr">
        <is>
          <t>Expense</t>
        </is>
      </c>
      <c r="E30" s="9" t="inlineStr">
        <is>
          <t>Grocery</t>
        </is>
      </c>
      <c r="F30" s="9" t="inlineStr">
        <is>
          <t>Checking</t>
        </is>
      </c>
      <c r="G30" s="9" t="inlineStr"/>
      <c r="H30" s="9" t="n"/>
    </row>
    <row r="31">
      <c r="A31" s="23" t="n">
        <v>46125</v>
      </c>
      <c r="B31" s="9" t="inlineStr">
        <is>
          <t>BURGER KING #1898 041026</t>
        </is>
      </c>
      <c r="C31" s="24" t="n">
        <v>12.17</v>
      </c>
      <c r="D31" s="9" t="inlineStr">
        <is>
          <t>Expense</t>
        </is>
      </c>
      <c r="E31" s="9" t="inlineStr">
        <is>
          <t>Dining</t>
        </is>
      </c>
      <c r="F31" s="9" t="inlineStr">
        <is>
          <t>Checking</t>
        </is>
      </c>
      <c r="G31" s="9" t="inlineStr"/>
      <c r="H31" s="9" t="n"/>
    </row>
    <row r="32">
      <c r="A32" s="23" t="n">
        <v>46120</v>
      </c>
      <c r="B32" s="9" t="inlineStr">
        <is>
          <t>National Grid</t>
        </is>
      </c>
      <c r="C32" s="24" t="n">
        <v>33.83</v>
      </c>
      <c r="D32" s="9" t="inlineStr">
        <is>
          <t>Expense</t>
        </is>
      </c>
      <c r="E32" s="9" t="inlineStr">
        <is>
          <t>Utilities</t>
        </is>
      </c>
      <c r="F32" s="9" t="inlineStr">
        <is>
          <t>Checking</t>
        </is>
      </c>
      <c r="G32" s="9" t="inlineStr"/>
      <c r="H32" s="9" t="n"/>
    </row>
    <row r="33">
      <c r="A33" s="23" t="n">
        <v>46119</v>
      </c>
      <c r="B33" s="9" t="inlineStr">
        <is>
          <t>Old Mill Cafe</t>
        </is>
      </c>
      <c r="C33" s="24" t="n">
        <v>8.380000000000001</v>
      </c>
      <c r="D33" s="9" t="inlineStr">
        <is>
          <t>Expense</t>
        </is>
      </c>
      <c r="E33" s="9" t="inlineStr">
        <is>
          <t>Dining</t>
        </is>
      </c>
      <c r="F33" s="9" t="inlineStr">
        <is>
          <t>Checking</t>
        </is>
      </c>
      <c r="G33" s="9" t="inlineStr"/>
      <c r="H33" s="9" t="n"/>
    </row>
    <row r="34">
      <c r="A34" s="23" t="n">
        <v>46119</v>
      </c>
      <c r="B34" s="9" t="inlineStr">
        <is>
          <t>Con Edison</t>
        </is>
      </c>
      <c r="C34" s="24" t="n">
        <v>106.18</v>
      </c>
      <c r="D34" s="9" t="inlineStr">
        <is>
          <t>Expense</t>
        </is>
      </c>
      <c r="E34" s="9" t="inlineStr">
        <is>
          <t>Utilities</t>
        </is>
      </c>
      <c r="F34" s="9" t="inlineStr">
        <is>
          <t>Checking</t>
        </is>
      </c>
      <c r="G34" s="9" t="inlineStr"/>
      <c r="H34" s="9" t="n"/>
    </row>
    <row r="35">
      <c r="A35" s="23" t="n">
        <v>46118</v>
      </c>
      <c r="B35" s="9" t="inlineStr">
        <is>
          <t>Google cloud</t>
        </is>
      </c>
      <c r="C35" s="24" t="n">
        <v>82.20999999999999</v>
      </c>
      <c r="D35" s="9" t="inlineStr">
        <is>
          <t>Expense</t>
        </is>
      </c>
      <c r="E35" s="9" t="inlineStr">
        <is>
          <t>Subscriptions</t>
        </is>
      </c>
      <c r="F35" s="9" t="inlineStr">
        <is>
          <t>Checking</t>
        </is>
      </c>
      <c r="G35" s="9" t="inlineStr"/>
      <c r="H35" s="9" t="n"/>
    </row>
    <row r="36">
      <c r="A36" s="23" t="n">
        <v>46118</v>
      </c>
      <c r="B36" s="9" t="inlineStr">
        <is>
          <t>Club entrance</t>
        </is>
      </c>
      <c r="C36" s="24" t="n">
        <v>20</v>
      </c>
      <c r="D36" s="9" t="inlineStr">
        <is>
          <t>Expense</t>
        </is>
      </c>
      <c r="E36" s="9" t="inlineStr">
        <is>
          <t>Entertainment</t>
        </is>
      </c>
      <c r="F36" s="9" t="inlineStr">
        <is>
          <t>Checking</t>
        </is>
      </c>
      <c r="G36" s="9" t="inlineStr"/>
      <c r="H36" s="9" t="n"/>
    </row>
    <row r="37">
      <c r="A37" s="23" t="n">
        <v>46118</v>
      </c>
      <c r="B37" s="9" t="inlineStr">
        <is>
          <t>Uber</t>
        </is>
      </c>
      <c r="C37" s="24" t="n">
        <v>17.94</v>
      </c>
      <c r="D37" s="9" t="inlineStr">
        <is>
          <t>Expense</t>
        </is>
      </c>
      <c r="E37" s="9" t="inlineStr">
        <is>
          <t>Transit</t>
        </is>
      </c>
      <c r="F37" s="9" t="inlineStr">
        <is>
          <t>Checking</t>
        </is>
      </c>
      <c r="G37" s="9" t="inlineStr"/>
      <c r="H37" s="9" t="n"/>
    </row>
    <row r="38">
      <c r="A38" s="23" t="n">
        <v>46118</v>
      </c>
      <c r="B38" s="9" t="inlineStr">
        <is>
          <t>Wilson Express</t>
        </is>
      </c>
      <c r="C38" s="24" t="n">
        <v>14.04</v>
      </c>
      <c r="D38" s="9" t="inlineStr">
        <is>
          <t>Expense</t>
        </is>
      </c>
      <c r="E38" s="9" t="inlineStr">
        <is>
          <t>Dining</t>
        </is>
      </c>
      <c r="F38" s="9" t="inlineStr">
        <is>
          <t>Checking</t>
        </is>
      </c>
      <c r="G38" s="9" t="inlineStr"/>
      <c r="H38" s="9" t="n"/>
    </row>
    <row r="39">
      <c r="A39" s="23" t="n">
        <v>46118</v>
      </c>
      <c r="B39" s="9" t="inlineStr">
        <is>
          <t>Transfer from Venmo</t>
        </is>
      </c>
      <c r="C39" s="24" t="n">
        <v>38.57</v>
      </c>
      <c r="D39" s="9" t="inlineStr">
        <is>
          <t>Transfer</t>
        </is>
      </c>
      <c r="E39" s="9" t="inlineStr">
        <is>
          <t>Transfer</t>
        </is>
      </c>
      <c r="F39" s="9" t="inlineStr">
        <is>
          <t>Checking</t>
        </is>
      </c>
      <c r="G39" s="9" t="inlineStr"/>
      <c r="H39" s="9" t="n"/>
    </row>
    <row r="40">
      <c r="A40" s="23" t="n">
        <v>46115</v>
      </c>
      <c r="B40" s="9" t="inlineStr">
        <is>
          <t>bodega</t>
        </is>
      </c>
      <c r="C40" s="24" t="n">
        <v>7.8</v>
      </c>
      <c r="D40" s="9" t="inlineStr">
        <is>
          <t>Expense</t>
        </is>
      </c>
      <c r="E40" s="9" t="inlineStr">
        <is>
          <t>Dining</t>
        </is>
      </c>
      <c r="F40" s="9" t="inlineStr">
        <is>
          <t>Bilt</t>
        </is>
      </c>
      <c r="G40" s="9" t="inlineStr"/>
      <c r="H40" s="9" t="n"/>
    </row>
    <row r="41">
      <c r="A41" s="23" t="n">
        <v>46115</v>
      </c>
      <c r="B41" s="9" t="inlineStr">
        <is>
          <t>Wilson Express</t>
        </is>
      </c>
      <c r="C41" s="24" t="n">
        <v>7.8</v>
      </c>
      <c r="D41" s="9" t="inlineStr">
        <is>
          <t>Expense</t>
        </is>
      </c>
      <c r="E41" s="9" t="inlineStr">
        <is>
          <t>Dining</t>
        </is>
      </c>
      <c r="F41" s="9" t="inlineStr">
        <is>
          <t>USAA Credit Card</t>
        </is>
      </c>
      <c r="G41" s="9" t="inlineStr"/>
      <c r="H41" s="9" t="n"/>
    </row>
    <row r="42">
      <c r="A42" s="23" t="n">
        <v>46114</v>
      </c>
      <c r="B42" s="9" t="inlineStr">
        <is>
          <t>paypal payment</t>
        </is>
      </c>
      <c r="C42" s="24" t="n">
        <v>78.34</v>
      </c>
      <c r="D42" s="9" t="inlineStr">
        <is>
          <t>Transfer</t>
        </is>
      </c>
      <c r="E42" s="9" t="inlineStr">
        <is>
          <t>Transfer</t>
        </is>
      </c>
      <c r="F42" s="9" t="inlineStr">
        <is>
          <t>Checking</t>
        </is>
      </c>
      <c r="G42" s="9" t="inlineStr"/>
      <c r="H42" s="9" t="n"/>
    </row>
    <row r="43">
      <c r="A43" s="23" t="n">
        <v>46114</v>
      </c>
      <c r="B43" s="9" t="inlineStr">
        <is>
          <t>Apple Credit Card</t>
        </is>
      </c>
      <c r="C43" s="24" t="n">
        <v>78.34</v>
      </c>
      <c r="D43" s="9" t="inlineStr">
        <is>
          <t>Expense</t>
        </is>
      </c>
      <c r="E43" s="9" t="inlineStr">
        <is>
          <t>Transfer</t>
        </is>
      </c>
      <c r="F43" s="9" t="inlineStr">
        <is>
          <t>Checking</t>
        </is>
      </c>
      <c r="G43" s="9" t="inlineStr"/>
      <c r="H43" s="9" t="n"/>
    </row>
    <row r="44">
      <c r="A44" s="23" t="n">
        <v>46114</v>
      </c>
      <c r="B44" s="9" t="inlineStr">
        <is>
          <t>Bilt</t>
        </is>
      </c>
      <c r="C44" s="24" t="n">
        <v>69.92</v>
      </c>
      <c r="D44" s="9" t="inlineStr">
        <is>
          <t>Expense</t>
        </is>
      </c>
      <c r="E44" s="9" t="inlineStr">
        <is>
          <t>Misc</t>
        </is>
      </c>
      <c r="F44" s="9" t="inlineStr">
        <is>
          <t>Checking</t>
        </is>
      </c>
      <c r="G44" s="9" t="inlineStr"/>
      <c r="H44" s="9" t="n"/>
    </row>
    <row r="45">
      <c r="A45" s="23" t="n">
        <v>46113</v>
      </c>
      <c r="B45" s="9" t="inlineStr">
        <is>
          <t>city fresh</t>
        </is>
      </c>
      <c r="C45" s="24" t="n">
        <v>17.42</v>
      </c>
      <c r="D45" s="9" t="inlineStr">
        <is>
          <t>Expense</t>
        </is>
      </c>
      <c r="E45" s="9" t="inlineStr">
        <is>
          <t>Grocery</t>
        </is>
      </c>
      <c r="F45" s="9" t="inlineStr">
        <is>
          <t>Checking</t>
        </is>
      </c>
      <c r="G45" s="9" t="inlineStr"/>
      <c r="H45" s="9" t="n"/>
    </row>
    <row r="46">
      <c r="A46" s="23" t="n">
        <v>46113</v>
      </c>
      <c r="B46" s="9" t="inlineStr">
        <is>
          <t>AG Hardware</t>
        </is>
      </c>
      <c r="C46" s="24" t="n">
        <v>34.07</v>
      </c>
      <c r="D46" s="9" t="inlineStr">
        <is>
          <t>Expense</t>
        </is>
      </c>
      <c r="E46" s="9" t="inlineStr">
        <is>
          <t>Home</t>
        </is>
      </c>
      <c r="F46" s="9" t="inlineStr">
        <is>
          <t>USAA Credit Card</t>
        </is>
      </c>
      <c r="G46" s="9" t="inlineStr"/>
      <c r="H46" s="9" t="n"/>
    </row>
    <row r="47">
      <c r="A47" s="23" t="n">
        <v>46113</v>
      </c>
      <c r="B47" s="9" t="inlineStr">
        <is>
          <t>klarna</t>
        </is>
      </c>
      <c r="C47" s="24" t="n">
        <v>134.74</v>
      </c>
      <c r="D47" s="9" t="inlineStr">
        <is>
          <t>Expense</t>
        </is>
      </c>
      <c r="E47" s="9" t="inlineStr">
        <is>
          <t>Shopping</t>
        </is>
      </c>
      <c r="F47" s="9" t="inlineStr">
        <is>
          <t>Bilt</t>
        </is>
      </c>
      <c r="G47" s="9" t="inlineStr"/>
      <c r="H47" s="9" t="n"/>
    </row>
    <row r="48">
      <c r="A48" s="23" t="n">
        <v>46113</v>
      </c>
      <c r="B48" s="9" t="inlineStr">
        <is>
          <t>city fresh</t>
        </is>
      </c>
      <c r="C48" s="24" t="n">
        <v>31.34</v>
      </c>
      <c r="D48" s="9" t="inlineStr">
        <is>
          <t>Expense</t>
        </is>
      </c>
      <c r="E48" s="9" t="inlineStr">
        <is>
          <t>Grocery</t>
        </is>
      </c>
      <c r="F48" s="9" t="inlineStr">
        <is>
          <t>Bilt</t>
        </is>
      </c>
      <c r="G48" s="9" t="inlineStr"/>
      <c r="H48" s="9" t="n"/>
    </row>
    <row r="49">
      <c r="A49" s="23" t="n">
        <v>46113</v>
      </c>
      <c r="B49" s="9" t="inlineStr">
        <is>
          <t>bunker cafe</t>
        </is>
      </c>
      <c r="C49" s="24" t="n">
        <v>8.359999999999999</v>
      </c>
      <c r="D49" s="9" t="inlineStr">
        <is>
          <t>Expense</t>
        </is>
      </c>
      <c r="E49" s="9" t="inlineStr">
        <is>
          <t>Dining</t>
        </is>
      </c>
      <c r="F49" s="9" t="inlineStr">
        <is>
          <t>Bilt</t>
        </is>
      </c>
      <c r="G49" s="9" t="inlineStr"/>
      <c r="H49" s="9" t="n"/>
    </row>
    <row r="50">
      <c r="A50" s="23" t="n">
        <v>46113</v>
      </c>
      <c r="B50" s="9" t="inlineStr">
        <is>
          <t>doordash/grocery</t>
        </is>
      </c>
      <c r="C50" s="24" t="n">
        <v>109.72</v>
      </c>
      <c r="D50" s="9" t="inlineStr">
        <is>
          <t>Expense</t>
        </is>
      </c>
      <c r="E50" s="9" t="inlineStr">
        <is>
          <t>Grocery</t>
        </is>
      </c>
      <c r="F50" s="9" t="inlineStr">
        <is>
          <t>Bilt</t>
        </is>
      </c>
      <c r="G50" s="9" t="inlineStr"/>
      <c r="H50" s="9" t="n"/>
    </row>
    <row r="51">
      <c r="A51" s="23" t="n">
        <v>46113</v>
      </c>
      <c r="B51" s="9" t="inlineStr">
        <is>
          <t>all night skate</t>
        </is>
      </c>
      <c r="C51" s="24" t="n">
        <v>58.79</v>
      </c>
      <c r="D51" s="9" t="inlineStr">
        <is>
          <t>Expense</t>
        </is>
      </c>
      <c r="E51" s="9" t="inlineStr">
        <is>
          <t>Entertainment</t>
        </is>
      </c>
      <c r="F51" s="9" t="inlineStr">
        <is>
          <t>Bilt</t>
        </is>
      </c>
      <c r="G51" s="9" t="inlineStr"/>
      <c r="H51" s="9" t="n"/>
    </row>
    <row r="52">
      <c r="A52" s="23" t="n">
        <v>46113</v>
      </c>
      <c r="B52" s="9" t="inlineStr">
        <is>
          <t>tax hawk</t>
        </is>
      </c>
      <c r="C52" s="24" t="n">
        <v>17.41</v>
      </c>
      <c r="D52" s="9" t="inlineStr">
        <is>
          <t>Expense</t>
        </is>
      </c>
      <c r="E52" s="9" t="inlineStr">
        <is>
          <t>Misc</t>
        </is>
      </c>
      <c r="F52" s="9" t="inlineStr">
        <is>
          <t>Bilt</t>
        </is>
      </c>
      <c r="G52" s="9" t="inlineStr"/>
      <c r="H52" s="9" t="n"/>
    </row>
    <row r="53">
      <c r="A53" s="23" t="n">
        <v>46113</v>
      </c>
      <c r="B53" s="9" t="inlineStr">
        <is>
          <t>bushniwa</t>
        </is>
      </c>
      <c r="C53" s="24" t="n">
        <v>31.36</v>
      </c>
      <c r="D53" s="9" t="inlineStr">
        <is>
          <t>Expense</t>
        </is>
      </c>
      <c r="E53" s="9" t="inlineStr">
        <is>
          <t>Entertainment</t>
        </is>
      </c>
      <c r="F53" s="9" t="inlineStr">
        <is>
          <t>Bilt</t>
        </is>
      </c>
      <c r="G53" s="9" t="inlineStr"/>
      <c r="H53" s="9" t="n"/>
    </row>
    <row r="54">
      <c r="A54" s="23" t="n">
        <v>46113</v>
      </c>
      <c r="B54" s="9" t="inlineStr">
        <is>
          <t>dice</t>
        </is>
      </c>
      <c r="C54" s="24" t="n">
        <v>17</v>
      </c>
      <c r="D54" s="9" t="inlineStr">
        <is>
          <t>Expense</t>
        </is>
      </c>
      <c r="E54" s="9" t="inlineStr">
        <is>
          <t>Entertainment</t>
        </is>
      </c>
      <c r="F54" s="9" t="inlineStr">
        <is>
          <t>Bilt</t>
        </is>
      </c>
      <c r="G54" s="9" t="inlineStr"/>
      <c r="H54" s="9" t="n"/>
    </row>
    <row r="55">
      <c r="A55" s="23" t="n">
        <v>46113</v>
      </c>
      <c r="B55" s="9" t="inlineStr">
        <is>
          <t>purgatory</t>
        </is>
      </c>
      <c r="C55" s="24" t="n">
        <v>48</v>
      </c>
      <c r="D55" s="9" t="inlineStr">
        <is>
          <t>Expense</t>
        </is>
      </c>
      <c r="E55" s="9" t="inlineStr">
        <is>
          <t>Entertainment</t>
        </is>
      </c>
      <c r="F55" s="9" t="inlineStr">
        <is>
          <t>Bilt</t>
        </is>
      </c>
      <c r="G55" s="9" t="inlineStr"/>
      <c r="H55" s="9" t="n"/>
    </row>
    <row r="56">
      <c r="A56" s="23" t="n">
        <v>46113</v>
      </c>
      <c r="B56" s="9" t="inlineStr">
        <is>
          <t>bodega</t>
        </is>
      </c>
      <c r="C56" s="24" t="n">
        <v>6.24</v>
      </c>
      <c r="D56" s="9" t="inlineStr">
        <is>
          <t>Expense</t>
        </is>
      </c>
      <c r="E56" s="9" t="inlineStr">
        <is>
          <t>Dining</t>
        </is>
      </c>
      <c r="F56" s="9" t="inlineStr">
        <is>
          <t>Bilt</t>
        </is>
      </c>
      <c r="G56" s="9" t="inlineStr"/>
      <c r="H56" s="9" t="n"/>
    </row>
    <row r="57">
      <c r="A57" s="23" t="n">
        <v>46113</v>
      </c>
      <c r="B57" s="9" t="inlineStr">
        <is>
          <t>terra kaffe</t>
        </is>
      </c>
      <c r="C57" s="24" t="n">
        <v>69.14</v>
      </c>
      <c r="D57" s="9" t="inlineStr">
        <is>
          <t>Expense</t>
        </is>
      </c>
      <c r="E57" s="9" t="inlineStr">
        <is>
          <t>Dining</t>
        </is>
      </c>
      <c r="F57" s="9" t="inlineStr">
        <is>
          <t>Bilt</t>
        </is>
      </c>
      <c r="G57" s="9" t="inlineStr"/>
      <c r="H57" s="9" t="n"/>
    </row>
    <row r="58">
      <c r="A58" s="23" t="n">
        <v>46070</v>
      </c>
      <c r="B58" s="9" t="inlineStr">
        <is>
          <t>Popeyes</t>
        </is>
      </c>
      <c r="C58" s="24" t="n">
        <v>12.5</v>
      </c>
      <c r="D58" s="9" t="inlineStr">
        <is>
          <t>Expense</t>
        </is>
      </c>
      <c r="E58" s="9" t="inlineStr">
        <is>
          <t>Dining</t>
        </is>
      </c>
      <c r="F58" s="9" t="inlineStr">
        <is>
          <t>Checking</t>
        </is>
      </c>
      <c r="G58" s="9" t="inlineStr">
        <is>
          <t>Roberto</t>
        </is>
      </c>
      <c r="H58" s="9" t="n"/>
    </row>
    <row r="59">
      <c r="A59" s="23" t="n">
        <v>46070</v>
      </c>
      <c r="B59" s="9" t="inlineStr">
        <is>
          <t>Koneko</t>
        </is>
      </c>
      <c r="C59" s="24" t="n">
        <v>19</v>
      </c>
      <c r="D59" s="9" t="inlineStr">
        <is>
          <t>Expense</t>
        </is>
      </c>
      <c r="E59" s="9" t="inlineStr">
        <is>
          <t>Misc</t>
        </is>
      </c>
      <c r="F59" s="9" t="inlineStr">
        <is>
          <t>Checking</t>
        </is>
      </c>
      <c r="G59" s="9" t="inlineStr">
        <is>
          <t>Roberto</t>
        </is>
      </c>
      <c r="H59" s="9" t="n"/>
    </row>
    <row r="60">
      <c r="A60" s="23" t="n">
        <v>46068</v>
      </c>
      <c r="B60" s="9" t="inlineStr">
        <is>
          <t>Amazon</t>
        </is>
      </c>
      <c r="C60" s="24" t="n">
        <v>9.16</v>
      </c>
      <c r="D60" s="9" t="inlineStr">
        <is>
          <t>Expense</t>
        </is>
      </c>
      <c r="E60" s="9" t="inlineStr">
        <is>
          <t>Shopping</t>
        </is>
      </c>
      <c r="F60" s="9" t="inlineStr">
        <is>
          <t>Apple Card</t>
        </is>
      </c>
      <c r="G60" s="9" t="inlineStr">
        <is>
          <t>Roberto</t>
        </is>
      </c>
      <c r="H60" s="9" t="n"/>
    </row>
    <row r="61">
      <c r="A61" s="23" t="n">
        <v>46068</v>
      </c>
      <c r="B61" s="9" t="inlineStr">
        <is>
          <t>Amazon</t>
        </is>
      </c>
      <c r="C61" s="24" t="n">
        <v>19.54</v>
      </c>
      <c r="D61" s="9" t="inlineStr">
        <is>
          <t>Expense</t>
        </is>
      </c>
      <c r="E61" s="9" t="inlineStr">
        <is>
          <t>Shopping</t>
        </is>
      </c>
      <c r="F61" s="9" t="inlineStr">
        <is>
          <t>Apple Card</t>
        </is>
      </c>
      <c r="G61" s="9" t="inlineStr">
        <is>
          <t>Roberto</t>
        </is>
      </c>
      <c r="H61" s="9" t="n"/>
    </row>
    <row r="62">
      <c r="A62" s="23" t="n">
        <v>46068</v>
      </c>
      <c r="B62" s="9" t="inlineStr">
        <is>
          <t>Amazon</t>
        </is>
      </c>
      <c r="C62" s="24" t="n">
        <v>9.449999999999999</v>
      </c>
      <c r="D62" s="9" t="inlineStr">
        <is>
          <t>Expense</t>
        </is>
      </c>
      <c r="E62" s="9" t="inlineStr">
        <is>
          <t>Shopping</t>
        </is>
      </c>
      <c r="F62" s="9" t="inlineStr">
        <is>
          <t>Apple Card</t>
        </is>
      </c>
      <c r="G62" s="9" t="inlineStr">
        <is>
          <t>Roberto</t>
        </is>
      </c>
      <c r="H62" s="9" t="n"/>
    </row>
    <row r="63">
      <c r="A63" s="23" t="n">
        <v>46066</v>
      </c>
      <c r="B63" s="9" t="inlineStr">
        <is>
          <t>Bodgega</t>
        </is>
      </c>
      <c r="C63" s="24" t="n">
        <v>5.2</v>
      </c>
      <c r="D63" s="9" t="inlineStr">
        <is>
          <t>Expense</t>
        </is>
      </c>
      <c r="E63" s="9" t="inlineStr">
        <is>
          <t>Misc</t>
        </is>
      </c>
      <c r="F63" s="9" t="inlineStr">
        <is>
          <t>Checking</t>
        </is>
      </c>
      <c r="G63" s="9" t="inlineStr">
        <is>
          <t>Roberto</t>
        </is>
      </c>
      <c r="H63" s="9" t="n"/>
    </row>
    <row r="64">
      <c r="A64" s="23" t="n">
        <v>46066</v>
      </c>
      <c r="B64" s="9" t="inlineStr">
        <is>
          <t>Groceries</t>
        </is>
      </c>
      <c r="C64" s="24" t="n">
        <v>70</v>
      </c>
      <c r="D64" s="9" t="inlineStr">
        <is>
          <t>Expense</t>
        </is>
      </c>
      <c r="E64" s="9" t="inlineStr">
        <is>
          <t>Grocery</t>
        </is>
      </c>
      <c r="F64" s="9" t="inlineStr">
        <is>
          <t>Checking</t>
        </is>
      </c>
      <c r="G64" s="9" t="inlineStr"/>
      <c r="H64" s="9" t="n"/>
    </row>
    <row r="65">
      <c r="A65" s="23" t="n">
        <v>46065</v>
      </c>
      <c r="B65" s="9" t="inlineStr">
        <is>
          <t>City Fresh</t>
        </is>
      </c>
      <c r="C65" s="24" t="n">
        <v>12.29</v>
      </c>
      <c r="D65" s="9" t="inlineStr">
        <is>
          <t>Expense</t>
        </is>
      </c>
      <c r="E65" s="9" t="inlineStr">
        <is>
          <t>Grocery</t>
        </is>
      </c>
      <c r="F65" s="9" t="inlineStr">
        <is>
          <t>Checking</t>
        </is>
      </c>
      <c r="G65" s="9" t="inlineStr">
        <is>
          <t>Roberto</t>
        </is>
      </c>
      <c r="H65" s="9" t="n"/>
    </row>
    <row r="66">
      <c r="A66" s="23" t="n">
        <v>46064</v>
      </c>
      <c r="B66" s="9" t="inlineStr">
        <is>
          <t>City Fresh</t>
        </is>
      </c>
      <c r="C66" s="24" t="n">
        <v>34.18</v>
      </c>
      <c r="D66" s="9" t="inlineStr">
        <is>
          <t>Expense</t>
        </is>
      </c>
      <c r="E66" s="9" t="inlineStr">
        <is>
          <t>Grocery</t>
        </is>
      </c>
      <c r="F66" s="9" t="inlineStr">
        <is>
          <t>Checking</t>
        </is>
      </c>
      <c r="G66" s="9" t="inlineStr">
        <is>
          <t>Roberto</t>
        </is>
      </c>
      <c r="H66" s="9" t="n"/>
    </row>
    <row r="67">
      <c r="A67" s="23" t="n">
        <v>46063</v>
      </c>
      <c r="B67" s="9" t="inlineStr">
        <is>
          <t>Bodgega</t>
        </is>
      </c>
      <c r="C67" s="24" t="n">
        <v>5.72</v>
      </c>
      <c r="D67" s="9" t="inlineStr">
        <is>
          <t>Expense</t>
        </is>
      </c>
      <c r="E67" s="9" t="inlineStr">
        <is>
          <t>Misc</t>
        </is>
      </c>
      <c r="F67" s="9" t="inlineStr">
        <is>
          <t>Checking</t>
        </is>
      </c>
      <c r="G67" s="9" t="inlineStr">
        <is>
          <t>Roberto</t>
        </is>
      </c>
      <c r="H67" s="9" t="n"/>
    </row>
    <row r="68">
      <c r="A68" s="23" t="n">
        <v>46063</v>
      </c>
      <c r="B68" s="9" t="inlineStr">
        <is>
          <t>Tailor Home</t>
        </is>
      </c>
      <c r="C68" s="24" t="n">
        <v>15.46</v>
      </c>
      <c r="D68" s="9" t="inlineStr">
        <is>
          <t>Expense</t>
        </is>
      </c>
      <c r="E68" s="9" t="inlineStr">
        <is>
          <t>Misc</t>
        </is>
      </c>
      <c r="F68" s="9" t="inlineStr">
        <is>
          <t>Checking</t>
        </is>
      </c>
      <c r="G68" s="9" t="inlineStr">
        <is>
          <t>Roberto</t>
        </is>
      </c>
      <c r="H68" s="9" t="n"/>
    </row>
    <row r="69">
      <c r="A69" s="23" t="n">
        <v>46063</v>
      </c>
      <c r="B69" s="9" t="inlineStr">
        <is>
          <t>Pai ATM</t>
        </is>
      </c>
      <c r="C69" s="24" t="n">
        <v>63.5</v>
      </c>
      <c r="D69" s="9" t="inlineStr">
        <is>
          <t>Expense</t>
        </is>
      </c>
      <c r="E69" s="9" t="inlineStr">
        <is>
          <t>Transfer</t>
        </is>
      </c>
      <c r="F69" s="9" t="inlineStr">
        <is>
          <t>Checking</t>
        </is>
      </c>
      <c r="G69" s="9" t="inlineStr">
        <is>
          <t>Roberto</t>
        </is>
      </c>
      <c r="H69" s="9" t="n"/>
    </row>
    <row r="70">
      <c r="A70" s="23" t="n">
        <v>46063</v>
      </c>
      <c r="B70" s="9" t="inlineStr">
        <is>
          <t>PostNet</t>
        </is>
      </c>
      <c r="C70" s="24" t="n">
        <v>15.51</v>
      </c>
      <c r="D70" s="9" t="inlineStr">
        <is>
          <t>Expense</t>
        </is>
      </c>
      <c r="E70" s="9" t="inlineStr">
        <is>
          <t>Misc</t>
        </is>
      </c>
      <c r="F70" s="9" t="inlineStr">
        <is>
          <t>Apple Card</t>
        </is>
      </c>
      <c r="G70" s="9" t="inlineStr">
        <is>
          <t>Roberto</t>
        </is>
      </c>
      <c r="H70" s="9" t="n"/>
    </row>
    <row r="71">
      <c r="A71" s="23" t="n">
        <v>46063</v>
      </c>
      <c r="B71" s="9" t="inlineStr">
        <is>
          <t>Amazon</t>
        </is>
      </c>
      <c r="C71" s="24" t="n">
        <v>11.94</v>
      </c>
      <c r="D71" s="9" t="inlineStr">
        <is>
          <t>Expense</t>
        </is>
      </c>
      <c r="E71" s="9" t="inlineStr">
        <is>
          <t>Shopping</t>
        </is>
      </c>
      <c r="F71" s="9" t="inlineStr">
        <is>
          <t>Apple Card</t>
        </is>
      </c>
      <c r="G71" s="9" t="inlineStr">
        <is>
          <t>Roberto</t>
        </is>
      </c>
      <c r="H71" s="9" t="n"/>
    </row>
    <row r="72">
      <c r="A72" s="23" t="n">
        <v>46063</v>
      </c>
      <c r="B72" s="9" t="inlineStr">
        <is>
          <t>Amazon</t>
        </is>
      </c>
      <c r="C72" s="24" t="n">
        <v>28.3</v>
      </c>
      <c r="D72" s="9" t="inlineStr">
        <is>
          <t>Expense</t>
        </is>
      </c>
      <c r="E72" s="9" t="inlineStr">
        <is>
          <t>Shopping</t>
        </is>
      </c>
      <c r="F72" s="9" t="inlineStr">
        <is>
          <t>Apple Card</t>
        </is>
      </c>
      <c r="G72" s="9" t="inlineStr">
        <is>
          <t>Roberto</t>
        </is>
      </c>
      <c r="H72" s="9" t="n"/>
    </row>
    <row r="73">
      <c r="A73" s="23" t="n">
        <v>46063</v>
      </c>
      <c r="B73" s="9" t="inlineStr">
        <is>
          <t>Angelika</t>
        </is>
      </c>
      <c r="C73" s="24" t="n">
        <v>42.38</v>
      </c>
      <c r="D73" s="9" t="inlineStr">
        <is>
          <t>Expense</t>
        </is>
      </c>
      <c r="E73" s="9" t="inlineStr">
        <is>
          <t>Misc</t>
        </is>
      </c>
      <c r="F73" s="9" t="inlineStr">
        <is>
          <t>Apple Card</t>
        </is>
      </c>
      <c r="G73" s="9" t="inlineStr">
        <is>
          <t>Roberto</t>
        </is>
      </c>
      <c r="H73" s="9" t="n"/>
    </row>
    <row r="74">
      <c r="A74" s="23" t="n">
        <v>46062</v>
      </c>
      <c r="B74" s="9" t="inlineStr">
        <is>
          <t>bodega</t>
        </is>
      </c>
      <c r="C74" s="24" t="n">
        <v>3.12</v>
      </c>
      <c r="D74" s="9" t="inlineStr">
        <is>
          <t>Expense</t>
        </is>
      </c>
      <c r="E74" s="9" t="inlineStr">
        <is>
          <t>Dining</t>
        </is>
      </c>
      <c r="F74" s="9" t="inlineStr">
        <is>
          <t>Checking</t>
        </is>
      </c>
      <c r="G74" s="9" t="inlineStr">
        <is>
          <t>Roberto</t>
        </is>
      </c>
      <c r="H74" s="9" t="n"/>
    </row>
    <row r="75">
      <c r="A75" s="23" t="n">
        <v>46062</v>
      </c>
      <c r="B75" s="9" t="inlineStr">
        <is>
          <t>city fresh</t>
        </is>
      </c>
      <c r="C75" s="24" t="n">
        <v>3.99</v>
      </c>
      <c r="D75" s="9" t="inlineStr">
        <is>
          <t>Expense</t>
        </is>
      </c>
      <c r="E75" s="9" t="inlineStr">
        <is>
          <t>Grocery</t>
        </is>
      </c>
      <c r="F75" s="9" t="inlineStr">
        <is>
          <t>Checking</t>
        </is>
      </c>
      <c r="G75" s="9" t="inlineStr">
        <is>
          <t>Roberto</t>
        </is>
      </c>
      <c r="H75" s="9" t="n"/>
    </row>
    <row r="76">
      <c r="A76" s="23" t="n">
        <v>46062</v>
      </c>
      <c r="B76" s="9" t="inlineStr">
        <is>
          <t>3 diamond</t>
        </is>
      </c>
      <c r="C76" s="24" t="n">
        <v>30.04</v>
      </c>
      <c r="D76" s="9" t="inlineStr">
        <is>
          <t>Expense</t>
        </is>
      </c>
      <c r="E76" s="9" t="inlineStr">
        <is>
          <t>Misc</t>
        </is>
      </c>
      <c r="F76" s="9" t="inlineStr">
        <is>
          <t>Checking</t>
        </is>
      </c>
      <c r="G76" s="9" t="inlineStr">
        <is>
          <t>Roberto</t>
        </is>
      </c>
      <c r="H76" s="9" t="n"/>
    </row>
    <row r="77">
      <c r="A77" s="23" t="n">
        <v>46062</v>
      </c>
      <c r="B77" s="9" t="inlineStr">
        <is>
          <t>ayat</t>
        </is>
      </c>
      <c r="C77" s="24" t="n">
        <v>35.4</v>
      </c>
      <c r="D77" s="9" t="inlineStr">
        <is>
          <t>Expense</t>
        </is>
      </c>
      <c r="E77" s="9" t="inlineStr">
        <is>
          <t>Misc</t>
        </is>
      </c>
      <c r="F77" s="9" t="inlineStr">
        <is>
          <t>Checking</t>
        </is>
      </c>
      <c r="G77" s="9" t="inlineStr">
        <is>
          <t>Roberto</t>
        </is>
      </c>
      <c r="H77" s="9" t="n"/>
    </row>
    <row r="78">
      <c r="A78" s="23" t="n">
        <v>46062</v>
      </c>
      <c r="B78" s="9" t="inlineStr">
        <is>
          <t>nowhere</t>
        </is>
      </c>
      <c r="C78" s="24" t="n">
        <v>54</v>
      </c>
      <c r="D78" s="9" t="inlineStr">
        <is>
          <t>Expense</t>
        </is>
      </c>
      <c r="E78" s="9" t="inlineStr">
        <is>
          <t>Misc</t>
        </is>
      </c>
      <c r="F78" s="9" t="inlineStr">
        <is>
          <t>Checking</t>
        </is>
      </c>
      <c r="G78" s="9" t="inlineStr">
        <is>
          <t>Roberto</t>
        </is>
      </c>
      <c r="H78" s="9" t="n"/>
    </row>
    <row r="79">
      <c r="A79" s="23" t="n">
        <v>46062</v>
      </c>
      <c r="B79" s="9" t="inlineStr">
        <is>
          <t>Uber</t>
        </is>
      </c>
      <c r="C79" s="24" t="n">
        <v>16.94</v>
      </c>
      <c r="D79" s="9" t="inlineStr">
        <is>
          <t>Expense</t>
        </is>
      </c>
      <c r="E79" s="9" t="inlineStr">
        <is>
          <t>Transit</t>
        </is>
      </c>
      <c r="F79" s="9" t="inlineStr">
        <is>
          <t>Checking</t>
        </is>
      </c>
      <c r="G79" s="9" t="inlineStr">
        <is>
          <t>Roberto</t>
        </is>
      </c>
      <c r="H79" s="9" t="n"/>
    </row>
    <row r="80">
      <c r="A80" s="23" t="n">
        <v>46062</v>
      </c>
      <c r="B80" s="9" t="inlineStr">
        <is>
          <t>Ikea</t>
        </is>
      </c>
      <c r="C80" s="24" t="n">
        <v>36.97</v>
      </c>
      <c r="D80" s="9" t="inlineStr">
        <is>
          <t>Expense</t>
        </is>
      </c>
      <c r="E80" s="9" t="inlineStr">
        <is>
          <t>Home</t>
        </is>
      </c>
      <c r="F80" s="9" t="inlineStr">
        <is>
          <t>Apple Card</t>
        </is>
      </c>
      <c r="G80" s="9" t="inlineStr">
        <is>
          <t>Roberto</t>
        </is>
      </c>
      <c r="H80" s="9" t="n"/>
    </row>
    <row r="81">
      <c r="A81" s="23" t="n">
        <v>46062</v>
      </c>
      <c r="B81" s="9" t="inlineStr">
        <is>
          <t>Staples</t>
        </is>
      </c>
      <c r="C81" s="24" t="n">
        <v>23.7</v>
      </c>
      <c r="D81" s="9" t="inlineStr">
        <is>
          <t>Expense</t>
        </is>
      </c>
      <c r="E81" s="9" t="inlineStr">
        <is>
          <t>Misc</t>
        </is>
      </c>
      <c r="F81" s="9" t="inlineStr">
        <is>
          <t>Apple Card</t>
        </is>
      </c>
      <c r="G81" s="9" t="inlineStr">
        <is>
          <t>Roberto</t>
        </is>
      </c>
      <c r="H81" s="9" t="n"/>
    </row>
    <row r="82">
      <c r="A82" s="23" t="n">
        <v>46059</v>
      </c>
      <c r="B82" s="9" t="inlineStr">
        <is>
          <t>playground bar</t>
        </is>
      </c>
      <c r="C82" s="24" t="n">
        <v>9.17</v>
      </c>
      <c r="D82" s="9" t="inlineStr">
        <is>
          <t>Expense</t>
        </is>
      </c>
      <c r="E82" s="9" t="inlineStr">
        <is>
          <t>Misc</t>
        </is>
      </c>
      <c r="F82" s="9" t="inlineStr">
        <is>
          <t>Checking</t>
        </is>
      </c>
      <c r="G82" s="9" t="inlineStr">
        <is>
          <t>Roberto</t>
        </is>
      </c>
      <c r="H82" s="9" t="n"/>
    </row>
    <row r="83">
      <c r="A83" s="23" t="n">
        <v>46059</v>
      </c>
      <c r="B83" s="9" t="inlineStr">
        <is>
          <t>city fresh</t>
        </is>
      </c>
      <c r="C83" s="24" t="n">
        <v>12.47</v>
      </c>
      <c r="D83" s="9" t="inlineStr">
        <is>
          <t>Expense</t>
        </is>
      </c>
      <c r="E83" s="9" t="inlineStr">
        <is>
          <t>Grocery</t>
        </is>
      </c>
      <c r="F83" s="9" t="inlineStr">
        <is>
          <t>Checking</t>
        </is>
      </c>
      <c r="G83" s="9" t="inlineStr">
        <is>
          <t>Roberto</t>
        </is>
      </c>
      <c r="H83" s="9" t="n"/>
    </row>
    <row r="84">
      <c r="A84" s="23" t="n">
        <v>46057</v>
      </c>
      <c r="B84" s="9" t="inlineStr">
        <is>
          <t>sandbar</t>
        </is>
      </c>
      <c r="C84" s="24" t="n">
        <v>39.6</v>
      </c>
      <c r="D84" s="9" t="inlineStr">
        <is>
          <t>Expense</t>
        </is>
      </c>
      <c r="E84" s="9" t="inlineStr">
        <is>
          <t>Misc</t>
        </is>
      </c>
      <c r="F84" s="9" t="inlineStr">
        <is>
          <t>Checking</t>
        </is>
      </c>
      <c r="G84" s="9" t="inlineStr">
        <is>
          <t>Roberto</t>
        </is>
      </c>
      <c r="H84" s="9" t="n"/>
    </row>
    <row r="85">
      <c r="A85" s="23" t="n">
        <v>46056</v>
      </c>
      <c r="B85" s="9" t="inlineStr">
        <is>
          <t>amazon</t>
        </is>
      </c>
      <c r="C85" s="24" t="n">
        <v>17.39</v>
      </c>
      <c r="D85" s="9" t="inlineStr">
        <is>
          <t>Expense</t>
        </is>
      </c>
      <c r="E85" s="9" t="inlineStr">
        <is>
          <t>Shopping</t>
        </is>
      </c>
      <c r="F85" s="9" t="inlineStr">
        <is>
          <t>Checking</t>
        </is>
      </c>
      <c r="G85" s="9" t="inlineStr">
        <is>
          <t>Roberto</t>
        </is>
      </c>
      <c r="H85" s="9" t="n"/>
    </row>
    <row r="86">
      <c r="A86" s="23" t="n">
        <v>46055</v>
      </c>
      <c r="B86" s="9" t="inlineStr">
        <is>
          <t>uber</t>
        </is>
      </c>
      <c r="C86" s="24" t="n">
        <v>14.94</v>
      </c>
      <c r="D86" s="9" t="inlineStr">
        <is>
          <t>Expense</t>
        </is>
      </c>
      <c r="E86" s="9" t="inlineStr">
        <is>
          <t>Transit</t>
        </is>
      </c>
      <c r="F86" s="9" t="inlineStr">
        <is>
          <t>Checking</t>
        </is>
      </c>
      <c r="G86" s="9" t="inlineStr">
        <is>
          <t>Roberto</t>
        </is>
      </c>
      <c r="H86" s="9" t="n"/>
    </row>
    <row r="87">
      <c r="A87" s="23" t="n">
        <v>46055</v>
      </c>
      <c r="B87" s="9" t="inlineStr">
        <is>
          <t>uber</t>
        </is>
      </c>
      <c r="C87" s="24" t="n">
        <v>25.22</v>
      </c>
      <c r="D87" s="9" t="inlineStr">
        <is>
          <t>Expense</t>
        </is>
      </c>
      <c r="E87" s="9" t="inlineStr">
        <is>
          <t>Transit</t>
        </is>
      </c>
      <c r="F87" s="9" t="inlineStr">
        <is>
          <t>Checking</t>
        </is>
      </c>
      <c r="G87" s="9" t="inlineStr">
        <is>
          <t>Roberto</t>
        </is>
      </c>
      <c r="H87" s="9" t="n"/>
    </row>
    <row r="88">
      <c r="A88" s="23" t="n">
        <v>46040</v>
      </c>
      <c r="B88" s="9" t="inlineStr">
        <is>
          <t>Vocal Lesson</t>
        </is>
      </c>
      <c r="C88" s="24" t="n">
        <v>100</v>
      </c>
      <c r="D88" s="9" t="inlineStr">
        <is>
          <t>Expense</t>
        </is>
      </c>
      <c r="E88" s="9" t="inlineStr">
        <is>
          <t>Misc</t>
        </is>
      </c>
      <c r="F88" s="9" t="inlineStr">
        <is>
          <t>Checking</t>
        </is>
      </c>
      <c r="G88" s="9" t="inlineStr"/>
      <c r="H88" s="9" t="n"/>
    </row>
    <row r="89">
      <c r="A89" s="23" t="n">
        <v>46040</v>
      </c>
      <c r="B89" s="9" t="inlineStr">
        <is>
          <t>Grocery (Doordash)</t>
        </is>
      </c>
      <c r="C89" s="24" t="n">
        <v>77.5</v>
      </c>
      <c r="D89" s="9" t="inlineStr">
        <is>
          <t>Expense</t>
        </is>
      </c>
      <c r="E89" s="9" t="inlineStr">
        <is>
          <t>Grocery</t>
        </is>
      </c>
      <c r="F89" s="9" t="inlineStr">
        <is>
          <t>Checking</t>
        </is>
      </c>
      <c r="G89" s="9" t="inlineStr">
        <is>
          <t>Cliff/Roberto</t>
        </is>
      </c>
      <c r="H89" s="9" t="inlineStr">
        <is>
          <t>155 in total</t>
        </is>
      </c>
    </row>
    <row r="90">
      <c r="A90" s="23" t="n">
        <v>46037</v>
      </c>
      <c r="B90" s="9" t="inlineStr">
        <is>
          <t>amazon</t>
        </is>
      </c>
      <c r="C90" s="24" t="n">
        <v>7.61</v>
      </c>
      <c r="D90" s="9" t="inlineStr">
        <is>
          <t>Expense</t>
        </is>
      </c>
      <c r="E90" s="9" t="inlineStr">
        <is>
          <t>Shopping</t>
        </is>
      </c>
      <c r="F90" s="9" t="inlineStr">
        <is>
          <t>Checking</t>
        </is>
      </c>
      <c r="G90" s="9" t="inlineStr"/>
      <c r="H90" s="9" t="inlineStr">
        <is>
          <t>curtain rings</t>
        </is>
      </c>
    </row>
    <row r="91">
      <c r="A91" s="23" t="n">
        <v>46033</v>
      </c>
      <c r="B91" s="9" t="inlineStr">
        <is>
          <t>Warby Parker (Cliff)</t>
        </is>
      </c>
      <c r="C91" s="24" t="n">
        <v>235</v>
      </c>
      <c r="D91" s="9" t="inlineStr">
        <is>
          <t>Expense</t>
        </is>
      </c>
      <c r="E91" s="9" t="inlineStr">
        <is>
          <t>Misc</t>
        </is>
      </c>
      <c r="F91" s="9" t="inlineStr">
        <is>
          <t>Checking</t>
        </is>
      </c>
      <c r="G91" s="9" t="inlineStr"/>
      <c r="H91" s="9" t="n"/>
    </row>
    <row r="92">
      <c r="A92" s="23" t="n">
        <v>46033</v>
      </c>
      <c r="B92" s="9" t="inlineStr">
        <is>
          <t>uber to warby</t>
        </is>
      </c>
      <c r="C92" s="24" t="n">
        <v>18.93</v>
      </c>
      <c r="D92" s="9" t="inlineStr">
        <is>
          <t>Expense</t>
        </is>
      </c>
      <c r="E92" s="9" t="inlineStr">
        <is>
          <t>Transit</t>
        </is>
      </c>
      <c r="F92" s="9" t="inlineStr">
        <is>
          <t>Checking</t>
        </is>
      </c>
      <c r="G92" s="9" t="inlineStr"/>
      <c r="H92" s="9" t="n"/>
    </row>
    <row r="93">
      <c r="A93" s="23" t="n">
        <v>46027</v>
      </c>
      <c r="B93" s="9" t="inlineStr">
        <is>
          <t>City Fresh</t>
        </is>
      </c>
      <c r="C93" s="24" t="n">
        <v>15.74</v>
      </c>
      <c r="D93" s="9" t="inlineStr">
        <is>
          <t>Expense</t>
        </is>
      </c>
      <c r="E93" s="9" t="inlineStr">
        <is>
          <t>Grocery</t>
        </is>
      </c>
      <c r="F93" s="9" t="inlineStr">
        <is>
          <t>Checking</t>
        </is>
      </c>
      <c r="G93" s="9" t="inlineStr"/>
      <c r="H93" s="9" t="n"/>
    </row>
    <row r="94">
      <c r="A94" s="23" t="n">
        <v>46027</v>
      </c>
      <c r="B94" s="9" t="inlineStr">
        <is>
          <t>Bodega</t>
        </is>
      </c>
      <c r="C94" s="24" t="n">
        <v>17.86</v>
      </c>
      <c r="D94" s="9" t="inlineStr">
        <is>
          <t>Expense</t>
        </is>
      </c>
      <c r="E94" s="9" t="inlineStr">
        <is>
          <t>Dining</t>
        </is>
      </c>
      <c r="F94" s="9" t="inlineStr">
        <is>
          <t>Checking</t>
        </is>
      </c>
      <c r="G94" s="9" t="inlineStr"/>
      <c r="H94" s="9" t="n"/>
    </row>
    <row r="95">
      <c r="A95" s="23" t="n">
        <v>46026</v>
      </c>
      <c r="B95" s="9" t="inlineStr">
        <is>
          <t>amazon</t>
        </is>
      </c>
      <c r="C95" s="24" t="n">
        <v>13.84</v>
      </c>
      <c r="D95" s="9" t="inlineStr">
        <is>
          <t>Expense</t>
        </is>
      </c>
      <c r="E95" s="9" t="inlineStr">
        <is>
          <t>Shopping</t>
        </is>
      </c>
      <c r="F95" s="9" t="inlineStr">
        <is>
          <t>Checking</t>
        </is>
      </c>
      <c r="G95" s="9" t="inlineStr"/>
      <c r="H95" s="9" t="inlineStr">
        <is>
          <t>gym bag</t>
        </is>
      </c>
    </row>
    <row r="96">
      <c r="A96" s="23" t="n">
        <v>46026</v>
      </c>
      <c r="B96" s="9" t="inlineStr">
        <is>
          <t>amazon 2</t>
        </is>
      </c>
      <c r="C96" s="24" t="n">
        <v>15.72</v>
      </c>
      <c r="D96" s="9" t="inlineStr">
        <is>
          <t>Expense</t>
        </is>
      </c>
      <c r="E96" s="9" t="inlineStr">
        <is>
          <t>Shopping</t>
        </is>
      </c>
      <c r="F96" s="9" t="inlineStr">
        <is>
          <t>Checking</t>
        </is>
      </c>
      <c r="G96" s="9" t="inlineStr"/>
      <c r="H96" s="9" t="inlineStr">
        <is>
          <t>leather cleaner</t>
        </is>
      </c>
    </row>
    <row r="97">
      <c r="A97" s="23" t="n">
        <v>46026</v>
      </c>
      <c r="B97" s="9" t="inlineStr">
        <is>
          <t>amazon3</t>
        </is>
      </c>
      <c r="C97" s="24" t="n">
        <v>14.14</v>
      </c>
      <c r="D97" s="9" t="inlineStr">
        <is>
          <t>Expense</t>
        </is>
      </c>
      <c r="E97" s="9" t="inlineStr">
        <is>
          <t>Shopping</t>
        </is>
      </c>
      <c r="F97" s="9" t="inlineStr">
        <is>
          <t>Checking</t>
        </is>
      </c>
      <c r="G97" s="9" t="inlineStr"/>
      <c r="H97" s="9" t="inlineStr">
        <is>
          <t>cable for speakers</t>
        </is>
      </c>
    </row>
    <row r="98">
      <c r="A98" s="23" t="n">
        <v>46026</v>
      </c>
      <c r="B98" s="9" t="inlineStr">
        <is>
          <t>amazon 4</t>
        </is>
      </c>
      <c r="C98" s="24" t="n">
        <v>6.85</v>
      </c>
      <c r="D98" s="9" t="inlineStr">
        <is>
          <t>Expense</t>
        </is>
      </c>
      <c r="E98" s="9" t="inlineStr">
        <is>
          <t>Shopping</t>
        </is>
      </c>
      <c r="F98" s="9" t="inlineStr">
        <is>
          <t>Checking</t>
        </is>
      </c>
      <c r="G98" s="9" t="inlineStr"/>
      <c r="H98" s="9" t="inlineStr">
        <is>
          <t>curtain rings</t>
        </is>
      </c>
    </row>
    <row r="99">
      <c r="A99" s="23" t="n">
        <v>46026</v>
      </c>
      <c r="B99" s="9" t="inlineStr">
        <is>
          <t>amazon 5</t>
        </is>
      </c>
      <c r="C99" s="24" t="n">
        <v>7.61</v>
      </c>
      <c r="D99" s="9" t="inlineStr">
        <is>
          <t>Expense</t>
        </is>
      </c>
      <c r="E99" s="9" t="inlineStr">
        <is>
          <t>Shopping</t>
        </is>
      </c>
      <c r="F99" s="9" t="inlineStr">
        <is>
          <t>Checking</t>
        </is>
      </c>
      <c r="G99" s="9" t="inlineStr"/>
      <c r="H99" s="9" t="inlineStr">
        <is>
          <t>mic stand adapter</t>
        </is>
      </c>
    </row>
    <row r="100">
      <c r="A100" s="23" t="n">
        <v>46026</v>
      </c>
      <c r="B100" s="9" t="inlineStr">
        <is>
          <t>amazon 6</t>
        </is>
      </c>
      <c r="C100" s="24" t="n">
        <v>97.93000000000001</v>
      </c>
      <c r="D100" s="9" t="inlineStr">
        <is>
          <t>Expense</t>
        </is>
      </c>
      <c r="E100" s="9" t="inlineStr">
        <is>
          <t>Shopping</t>
        </is>
      </c>
      <c r="F100" s="9" t="inlineStr">
        <is>
          <t>Checking</t>
        </is>
      </c>
      <c r="G100" s="9" t="inlineStr"/>
      <c r="H100" s="9" t="inlineStr">
        <is>
          <t>blueooth transmitter, power strip, aux cable, phone tripod</t>
        </is>
      </c>
    </row>
    <row r="101">
      <c r="A101" s="23" t="n">
        <v>46026</v>
      </c>
      <c r="B101" s="9" t="inlineStr">
        <is>
          <t>amazon 7</t>
        </is>
      </c>
      <c r="C101" s="24" t="n">
        <v>10.88</v>
      </c>
      <c r="D101" s="9" t="inlineStr">
        <is>
          <t>Expense</t>
        </is>
      </c>
      <c r="E101" s="9" t="inlineStr">
        <is>
          <t>Shopping</t>
        </is>
      </c>
      <c r="F101" s="9" t="inlineStr">
        <is>
          <t>Checking</t>
        </is>
      </c>
      <c r="G101" s="9" t="inlineStr"/>
      <c r="H101" s="9" t="inlineStr">
        <is>
          <t>trs to aux cable</t>
        </is>
      </c>
    </row>
    <row r="102">
      <c r="A102" s="23" t="n">
        <v>46026</v>
      </c>
      <c r="B102" s="9" t="inlineStr">
        <is>
          <t>Radegast hall</t>
        </is>
      </c>
      <c r="C102" s="24" t="n">
        <v>20.3</v>
      </c>
      <c r="D102" s="9" t="inlineStr">
        <is>
          <t>Expense</t>
        </is>
      </c>
      <c r="E102" s="9" t="inlineStr">
        <is>
          <t>Misc</t>
        </is>
      </c>
      <c r="F102" s="9" t="inlineStr">
        <is>
          <t>Checking</t>
        </is>
      </c>
      <c r="G102" s="9" t="inlineStr"/>
      <c r="H102" s="9" t="n"/>
    </row>
    <row r="103">
      <c r="A103" s="23" t="n">
        <v>46026</v>
      </c>
      <c r="B103" s="9" t="inlineStr">
        <is>
          <t>Home Depot</t>
        </is>
      </c>
      <c r="C103" s="24" t="n">
        <v>18.4</v>
      </c>
      <c r="D103" s="9" t="inlineStr">
        <is>
          <t>Expense</t>
        </is>
      </c>
      <c r="E103" s="9" t="inlineStr">
        <is>
          <t>Home</t>
        </is>
      </c>
      <c r="F103" s="9" t="inlineStr">
        <is>
          <t>Checking</t>
        </is>
      </c>
      <c r="G103" s="9" t="inlineStr"/>
      <c r="H103" s="9" t="n"/>
    </row>
    <row r="104">
      <c r="A104" s="23" t="n">
        <v>46026</v>
      </c>
      <c r="B104" s="9" t="inlineStr">
        <is>
          <t>Dollar Store</t>
        </is>
      </c>
      <c r="C104" s="24" t="n">
        <v>20.65</v>
      </c>
      <c r="D104" s="9" t="inlineStr">
        <is>
          <t>Expense</t>
        </is>
      </c>
      <c r="E104" s="9" t="inlineStr">
        <is>
          <t>Misc</t>
        </is>
      </c>
      <c r="F104" s="9" t="inlineStr">
        <is>
          <t>Checking</t>
        </is>
      </c>
      <c r="G104" s="9" t="inlineStr"/>
      <c r="H104" s="9" t="n"/>
    </row>
    <row r="105">
      <c r="A105" s="23" t="n">
        <v>46023</v>
      </c>
      <c r="B105" s="9" t="inlineStr">
        <is>
          <t>Nook</t>
        </is>
      </c>
      <c r="C105" s="24" t="n">
        <v>7.8</v>
      </c>
      <c r="D105" s="9" t="inlineStr">
        <is>
          <t>Expense</t>
        </is>
      </c>
      <c r="E105" s="9" t="inlineStr">
        <is>
          <t>Misc</t>
        </is>
      </c>
      <c r="F105" s="9" t="inlineStr">
        <is>
          <t>Checking</t>
        </is>
      </c>
      <c r="G105" s="9" t="inlineStr"/>
      <c r="H105" s="9" t="n"/>
    </row>
    <row r="106">
      <c r="A106" s="23" t="n">
        <v>46023</v>
      </c>
      <c r="B106" s="9" t="inlineStr">
        <is>
          <t>Caraotas</t>
        </is>
      </c>
      <c r="C106" s="24" t="n">
        <v>50.36</v>
      </c>
      <c r="D106" s="9" t="inlineStr">
        <is>
          <t>Expense</t>
        </is>
      </c>
      <c r="E106" s="9" t="inlineStr">
        <is>
          <t>Dining</t>
        </is>
      </c>
      <c r="F106" s="9" t="inlineStr">
        <is>
          <t>Checking</t>
        </is>
      </c>
      <c r="G106" s="9" t="inlineStr"/>
      <c r="H106" s="9" t="n"/>
    </row>
    <row r="107">
      <c r="A107" s="23" t="n">
        <v>46023</v>
      </c>
      <c r="B107" s="9" t="inlineStr">
        <is>
          <t>Uber 1</t>
        </is>
      </c>
      <c r="C107" s="24" t="n">
        <v>12.99</v>
      </c>
      <c r="D107" s="9" t="inlineStr">
        <is>
          <t>Expense</t>
        </is>
      </c>
      <c r="E107" s="9" t="inlineStr">
        <is>
          <t>Transit</t>
        </is>
      </c>
      <c r="F107" s="9" t="inlineStr">
        <is>
          <t>Checking</t>
        </is>
      </c>
      <c r="G107" s="9" t="inlineStr"/>
      <c r="H107" s="9" t="n"/>
    </row>
    <row r="108">
      <c r="A108" s="23" t="n">
        <v>46023</v>
      </c>
      <c r="B108" s="9" t="inlineStr">
        <is>
          <t>Uber 2</t>
        </is>
      </c>
      <c r="C108" s="24" t="n">
        <v>20.61</v>
      </c>
      <c r="D108" s="9" t="inlineStr">
        <is>
          <t>Expense</t>
        </is>
      </c>
      <c r="E108" s="9" t="inlineStr">
        <is>
          <t>Transit</t>
        </is>
      </c>
      <c r="F108" s="9" t="inlineStr">
        <is>
          <t>Checking</t>
        </is>
      </c>
      <c r="G108" s="9" t="inlineStr"/>
      <c r="H108" s="9" t="n"/>
    </row>
    <row r="109">
      <c r="A109" s="23" t="n">
        <v>46023</v>
      </c>
      <c r="B109" s="9" t="inlineStr">
        <is>
          <t>Cat food + litter</t>
        </is>
      </c>
      <c r="C109" s="24" t="n">
        <v>51.06</v>
      </c>
      <c r="D109" s="9" t="inlineStr">
        <is>
          <t>Expense</t>
        </is>
      </c>
      <c r="E109" s="9" t="inlineStr">
        <is>
          <t>Grocery</t>
        </is>
      </c>
      <c r="F109" s="9" t="inlineStr">
        <is>
          <t>Checking</t>
        </is>
      </c>
      <c r="G109" s="9" t="inlineStr"/>
      <c r="H109" s="9" t="n"/>
    </row>
    <row r="110">
      <c r="A110" s="23" t="n">
        <v>46023</v>
      </c>
      <c r="B110" s="9" t="inlineStr">
        <is>
          <t>bodega</t>
        </is>
      </c>
      <c r="C110" s="24" t="n">
        <v>17.86</v>
      </c>
      <c r="D110" s="9" t="inlineStr">
        <is>
          <t>Expense</t>
        </is>
      </c>
      <c r="E110" s="9" t="inlineStr">
        <is>
          <t>Dining</t>
        </is>
      </c>
      <c r="F110" s="9" t="inlineStr">
        <is>
          <t>Checking</t>
        </is>
      </c>
      <c r="G110" s="9" t="inlineStr"/>
      <c r="H110" s="9" t="n"/>
    </row>
    <row r="111">
      <c r="A111" s="23" t="n">
        <v>46023</v>
      </c>
      <c r="B111" s="9" t="inlineStr">
        <is>
          <t>the craic</t>
        </is>
      </c>
      <c r="C111" s="24" t="n">
        <v>39.12</v>
      </c>
      <c r="D111" s="9" t="inlineStr">
        <is>
          <t>Expense</t>
        </is>
      </c>
      <c r="E111" s="9" t="inlineStr">
        <is>
          <t>Misc</t>
        </is>
      </c>
      <c r="F111" s="9" t="inlineStr">
        <is>
          <t>Checking</t>
        </is>
      </c>
      <c r="G111" s="9" t="inlineStr"/>
      <c r="H111" s="9" t="n"/>
    </row>
    <row r="112">
      <c r="A112" s="23" t="n">
        <v>46023</v>
      </c>
      <c r="B112" s="9" t="inlineStr">
        <is>
          <t>amazon</t>
        </is>
      </c>
      <c r="C112" s="24" t="n">
        <v>22.82</v>
      </c>
      <c r="D112" s="9" t="inlineStr">
        <is>
          <t>Expense</t>
        </is>
      </c>
      <c r="E112" s="9" t="inlineStr">
        <is>
          <t>Shopping</t>
        </is>
      </c>
      <c r="F112" s="9" t="inlineStr">
        <is>
          <t>Checking</t>
        </is>
      </c>
      <c r="G112" s="9" t="inlineStr"/>
      <c r="H112" s="9" t="inlineStr">
        <is>
          <t>adhesive + cable</t>
        </is>
      </c>
    </row>
    <row r="113">
      <c r="A113" s="23" t="n">
        <v>46023</v>
      </c>
      <c r="B113" s="9" t="inlineStr">
        <is>
          <t>Late to work bag</t>
        </is>
      </c>
      <c r="C113" s="24" t="n">
        <v>279.91</v>
      </c>
      <c r="D113" s="9" t="inlineStr">
        <is>
          <t>Expense</t>
        </is>
      </c>
      <c r="E113" s="9" t="inlineStr">
        <is>
          <t>Misc</t>
        </is>
      </c>
      <c r="F113" s="9" t="inlineStr">
        <is>
          <t>Checking</t>
        </is>
      </c>
      <c r="G113" s="9" t="inlineStr"/>
      <c r="H113" s="9" t="n"/>
    </row>
    <row r="114">
      <c r="A114" s="23" t="n">
        <v>46006</v>
      </c>
      <c r="B114" s="9" t="inlineStr">
        <is>
          <t>Shell</t>
        </is>
      </c>
      <c r="C114" s="24" t="n">
        <v>17.48</v>
      </c>
      <c r="D114" s="9" t="inlineStr">
        <is>
          <t>Expense</t>
        </is>
      </c>
      <c r="E114" s="9" t="inlineStr">
        <is>
          <t>Misc</t>
        </is>
      </c>
      <c r="F114" s="9" t="inlineStr">
        <is>
          <t>Checking</t>
        </is>
      </c>
      <c r="G114" s="9" t="inlineStr"/>
      <c r="H114" s="9" t="n"/>
    </row>
    <row r="115">
      <c r="A115" s="23" t="n">
        <v>46006</v>
      </c>
      <c r="B115" s="9" t="inlineStr">
        <is>
          <t>Nectar</t>
        </is>
      </c>
      <c r="C115" s="24" t="n">
        <v>21.72</v>
      </c>
      <c r="D115" s="9" t="inlineStr">
        <is>
          <t>Expense</t>
        </is>
      </c>
      <c r="E115" s="9" t="inlineStr">
        <is>
          <t>Misc</t>
        </is>
      </c>
      <c r="F115" s="9" t="inlineStr">
        <is>
          <t>Checking</t>
        </is>
      </c>
      <c r="G115" s="9" t="inlineStr"/>
      <c r="H115" s="9" t="n"/>
    </row>
    <row r="116">
      <c r="A116" s="23" t="n">
        <v>46006</v>
      </c>
      <c r="B116" s="9" t="inlineStr">
        <is>
          <t>ATM</t>
        </is>
      </c>
      <c r="C116" s="24" t="n">
        <v>23</v>
      </c>
      <c r="D116" s="9" t="inlineStr">
        <is>
          <t>Expense</t>
        </is>
      </c>
      <c r="E116" s="9" t="inlineStr">
        <is>
          <t>Transfer</t>
        </is>
      </c>
      <c r="F116" s="9" t="inlineStr">
        <is>
          <t>Checking</t>
        </is>
      </c>
      <c r="G116" s="9" t="inlineStr"/>
      <c r="H116" s="9" t="n"/>
    </row>
    <row r="117">
      <c r="A117" s="23" t="n">
        <v>46005</v>
      </c>
      <c r="B117" s="9" t="inlineStr">
        <is>
          <t>McDonalds</t>
        </is>
      </c>
      <c r="C117" s="24" t="n">
        <v>6.45</v>
      </c>
      <c r="D117" s="9" t="inlineStr">
        <is>
          <t>Expense</t>
        </is>
      </c>
      <c r="E117" s="9" t="inlineStr">
        <is>
          <t>Dining</t>
        </is>
      </c>
      <c r="F117" s="9" t="inlineStr">
        <is>
          <t>Checking</t>
        </is>
      </c>
      <c r="G117" s="9" t="inlineStr"/>
      <c r="H117" s="9" t="n"/>
    </row>
    <row r="118">
      <c r="A118" s="23" t="n">
        <v>46005</v>
      </c>
      <c r="B118" s="9" t="inlineStr">
        <is>
          <t>Dose</t>
        </is>
      </c>
      <c r="C118" s="24" t="n">
        <v>7.58</v>
      </c>
      <c r="D118" s="9" t="inlineStr">
        <is>
          <t>Expense</t>
        </is>
      </c>
      <c r="E118" s="9" t="inlineStr">
        <is>
          <t>Misc</t>
        </is>
      </c>
      <c r="F118" s="9" t="inlineStr">
        <is>
          <t>Checking</t>
        </is>
      </c>
      <c r="G118" s="9" t="inlineStr"/>
      <c r="H118" s="9" t="n"/>
    </row>
    <row r="119">
      <c r="A119" s="23" t="n">
        <v>46005</v>
      </c>
      <c r="B119" s="9" t="inlineStr">
        <is>
          <t>Play</t>
        </is>
      </c>
      <c r="C119" s="24" t="n">
        <v>13.12</v>
      </c>
      <c r="D119" s="9" t="inlineStr">
        <is>
          <t>Expense</t>
        </is>
      </c>
      <c r="E119" s="9" t="inlineStr">
        <is>
          <t>Misc</t>
        </is>
      </c>
      <c r="F119" s="9" t="inlineStr">
        <is>
          <t>Checking</t>
        </is>
      </c>
      <c r="G119" s="9" t="inlineStr"/>
      <c r="H119" s="9" t="n"/>
    </row>
    <row r="120">
      <c r="A120" s="23" t="n">
        <v>46005</v>
      </c>
      <c r="B120" s="9" t="inlineStr">
        <is>
          <t>Eastside Bowl</t>
        </is>
      </c>
      <c r="C120" s="24" t="n">
        <v>14.7</v>
      </c>
      <c r="D120" s="9" t="inlineStr">
        <is>
          <t>Expense</t>
        </is>
      </c>
      <c r="E120" s="9" t="inlineStr">
        <is>
          <t>Misc</t>
        </is>
      </c>
      <c r="F120" s="9" t="inlineStr">
        <is>
          <t>Checking</t>
        </is>
      </c>
      <c r="G120" s="9" t="inlineStr"/>
      <c r="H120" s="9" t="n"/>
    </row>
    <row r="121">
      <c r="A121" s="23" t="n">
        <v>46004</v>
      </c>
      <c r="B121" s="9" t="inlineStr">
        <is>
          <t>Turnip Truck</t>
        </is>
      </c>
      <c r="C121" s="24" t="n">
        <v>14.25</v>
      </c>
      <c r="D121" s="9" t="inlineStr">
        <is>
          <t>Expense</t>
        </is>
      </c>
      <c r="E121" s="9" t="inlineStr">
        <is>
          <t>Misc</t>
        </is>
      </c>
      <c r="F121" s="9" t="inlineStr">
        <is>
          <t>Checking</t>
        </is>
      </c>
      <c r="G121" s="9" t="inlineStr"/>
      <c r="H121" s="9" t="n"/>
    </row>
    <row r="122">
      <c r="A122" s="23" t="n">
        <v>46004</v>
      </c>
      <c r="B122" s="9" t="inlineStr">
        <is>
          <t>WeGo</t>
        </is>
      </c>
      <c r="C122" s="24" t="n">
        <v>2</v>
      </c>
      <c r="D122" s="9" t="inlineStr">
        <is>
          <t>Expense</t>
        </is>
      </c>
      <c r="E122" s="9" t="inlineStr">
        <is>
          <t>Transit</t>
        </is>
      </c>
      <c r="F122" s="9" t="inlineStr">
        <is>
          <t>Checking</t>
        </is>
      </c>
      <c r="G122" s="9" t="inlineStr"/>
      <c r="H122" s="9" t="n"/>
    </row>
    <row r="123">
      <c r="A123" s="23" t="n">
        <v>46004</v>
      </c>
      <c r="B123" s="9" t="inlineStr">
        <is>
          <t>Something</t>
        </is>
      </c>
      <c r="C123" s="24" t="n">
        <v>5.26</v>
      </c>
      <c r="D123" s="9" t="inlineStr">
        <is>
          <t>Expense</t>
        </is>
      </c>
      <c r="E123" s="9" t="inlineStr">
        <is>
          <t>Misc</t>
        </is>
      </c>
      <c r="F123" s="9" t="inlineStr">
        <is>
          <t>Checking</t>
        </is>
      </c>
      <c r="G123" s="9" t="inlineStr"/>
      <c r="H123" s="9" t="n"/>
    </row>
    <row r="124">
      <c r="A124" s="23" t="n">
        <v>46004</v>
      </c>
      <c r="B124" s="9" t="inlineStr">
        <is>
          <t>Parking</t>
        </is>
      </c>
      <c r="C124" s="24" t="n">
        <v>6</v>
      </c>
      <c r="D124" s="9" t="inlineStr">
        <is>
          <t>Expense</t>
        </is>
      </c>
      <c r="E124" s="9" t="inlineStr">
        <is>
          <t>Misc</t>
        </is>
      </c>
      <c r="F124" s="9" t="inlineStr">
        <is>
          <t>Checking</t>
        </is>
      </c>
      <c r="G124" s="9" t="inlineStr"/>
      <c r="H124" s="9" t="n"/>
    </row>
    <row r="125">
      <c r="A125" s="23" t="n">
        <v>46003</v>
      </c>
      <c r="B125" s="9" t="inlineStr">
        <is>
          <t>Tower</t>
        </is>
      </c>
      <c r="C125" s="24" t="n">
        <v>7.14</v>
      </c>
      <c r="D125" s="9" t="inlineStr">
        <is>
          <t>Expense</t>
        </is>
      </c>
      <c r="E125" s="9" t="inlineStr">
        <is>
          <t>Entertainment</t>
        </is>
      </c>
      <c r="F125" s="9" t="inlineStr">
        <is>
          <t>Checking</t>
        </is>
      </c>
      <c r="G125" s="9" t="inlineStr"/>
      <c r="H125" s="9" t="n"/>
    </row>
    <row r="126">
      <c r="A126" s="23" t="n">
        <v>46003</v>
      </c>
      <c r="B126" s="9" t="inlineStr">
        <is>
          <t>Retrograde</t>
        </is>
      </c>
      <c r="C126" s="24" t="n">
        <v>8.31</v>
      </c>
      <c r="D126" s="9" t="inlineStr">
        <is>
          <t>Expense</t>
        </is>
      </c>
      <c r="E126" s="9" t="inlineStr">
        <is>
          <t>Misc</t>
        </is>
      </c>
      <c r="F126" s="9" t="inlineStr">
        <is>
          <t>Checking</t>
        </is>
      </c>
      <c r="G126" s="9" t="inlineStr"/>
      <c r="H126" s="9" t="n"/>
    </row>
    <row r="127">
      <c r="A127" s="23" t="n">
        <v>46003</v>
      </c>
      <c r="B127" s="9" t="inlineStr">
        <is>
          <t>Mcdonalds</t>
        </is>
      </c>
      <c r="C127" s="24" t="n">
        <v>9.41</v>
      </c>
      <c r="D127" s="9" t="inlineStr">
        <is>
          <t>Expense</t>
        </is>
      </c>
      <c r="E127" s="9" t="inlineStr">
        <is>
          <t>Dining</t>
        </is>
      </c>
      <c r="F127" s="9" t="inlineStr">
        <is>
          <t>Checking</t>
        </is>
      </c>
      <c r="G127" s="9" t="inlineStr"/>
      <c r="H127" s="9" t="n"/>
    </row>
    <row r="128">
      <c r="A128" s="23" t="n">
        <v>46003</v>
      </c>
      <c r="B128" s="9" t="inlineStr">
        <is>
          <t>Low Bar</t>
        </is>
      </c>
      <c r="C128" s="24" t="n">
        <v>10.86</v>
      </c>
      <c r="D128" s="9" t="inlineStr">
        <is>
          <t>Expense</t>
        </is>
      </c>
      <c r="E128" s="9" t="inlineStr">
        <is>
          <t>Misc</t>
        </is>
      </c>
      <c r="F128" s="9" t="inlineStr">
        <is>
          <t>Checking</t>
        </is>
      </c>
      <c r="G128" s="9" t="inlineStr"/>
      <c r="H128" s="9" t="n"/>
    </row>
    <row r="129">
      <c r="A129" s="23" t="n">
        <v>46002</v>
      </c>
      <c r="B129" s="9" t="inlineStr">
        <is>
          <t>Mcdonalds</t>
        </is>
      </c>
      <c r="C129" s="24" t="n">
        <v>9.73</v>
      </c>
      <c r="D129" s="9" t="inlineStr">
        <is>
          <t>Expense</t>
        </is>
      </c>
      <c r="E129" s="9" t="inlineStr">
        <is>
          <t>Dining</t>
        </is>
      </c>
      <c r="F129" s="9" t="inlineStr">
        <is>
          <t>Checking</t>
        </is>
      </c>
      <c r="G129" s="9" t="inlineStr"/>
      <c r="H129" s="9" t="n"/>
    </row>
    <row r="130">
      <c r="A130" s="23" t="n">
        <v>46002</v>
      </c>
      <c r="B130" s="9" t="inlineStr">
        <is>
          <t>Tower</t>
        </is>
      </c>
      <c r="C130" s="24" t="n">
        <v>11.57</v>
      </c>
      <c r="D130" s="9" t="inlineStr">
        <is>
          <t>Expense</t>
        </is>
      </c>
      <c r="E130" s="9" t="inlineStr">
        <is>
          <t>Entertainment</t>
        </is>
      </c>
      <c r="F130" s="9" t="inlineStr">
        <is>
          <t>Checking</t>
        </is>
      </c>
      <c r="G130" s="9" t="inlineStr"/>
      <c r="H130" s="9" t="n"/>
    </row>
    <row r="131">
      <c r="A131" s="23" t="n">
        <v>46002</v>
      </c>
      <c r="B131" s="9" t="inlineStr">
        <is>
          <t>Radish</t>
        </is>
      </c>
      <c r="C131" s="24" t="n">
        <v>17.46</v>
      </c>
      <c r="D131" s="9" t="inlineStr">
        <is>
          <t>Expense</t>
        </is>
      </c>
      <c r="E131" s="9" t="inlineStr">
        <is>
          <t>Misc</t>
        </is>
      </c>
      <c r="F131" s="9" t="inlineStr">
        <is>
          <t>Checking</t>
        </is>
      </c>
      <c r="G131" s="9" t="inlineStr"/>
      <c r="H131" s="9" t="n"/>
    </row>
    <row r="132">
      <c r="A132" s="23" t="n">
        <v>46002</v>
      </c>
      <c r="B132" s="9" t="inlineStr">
        <is>
          <t>Uber</t>
        </is>
      </c>
      <c r="C132" s="24" t="n">
        <v>16.16</v>
      </c>
      <c r="D132" s="9" t="inlineStr">
        <is>
          <t>Expense</t>
        </is>
      </c>
      <c r="E132" s="9" t="inlineStr">
        <is>
          <t>Transit</t>
        </is>
      </c>
      <c r="F132" s="9" t="inlineStr">
        <is>
          <t>Checking</t>
        </is>
      </c>
      <c r="G132" s="9" t="inlineStr"/>
      <c r="H132" s="9" t="n"/>
    </row>
    <row r="133">
      <c r="A133" s="23" t="n">
        <v>46001</v>
      </c>
      <c r="B133" s="9" t="inlineStr">
        <is>
          <t>Lyft</t>
        </is>
      </c>
      <c r="C133" s="24" t="n">
        <v>7</v>
      </c>
      <c r="D133" s="9" t="inlineStr">
        <is>
          <t>Expense</t>
        </is>
      </c>
      <c r="E133" s="9" t="inlineStr">
        <is>
          <t>Transit</t>
        </is>
      </c>
      <c r="F133" s="9" t="inlineStr">
        <is>
          <t>Checking</t>
        </is>
      </c>
      <c r="G133" s="9" t="inlineStr"/>
      <c r="H133" s="9" t="n"/>
    </row>
    <row r="134">
      <c r="A134" s="23" t="n">
        <v>46001</v>
      </c>
      <c r="B134" s="9" t="inlineStr">
        <is>
          <t>Nashville WeGo</t>
        </is>
      </c>
      <c r="C134" s="24" t="n">
        <v>6</v>
      </c>
      <c r="D134" s="9" t="inlineStr">
        <is>
          <t>Expense</t>
        </is>
      </c>
      <c r="E134" s="9" t="inlineStr">
        <is>
          <t>Transit</t>
        </is>
      </c>
      <c r="F134" s="9" t="inlineStr">
        <is>
          <t>Checking</t>
        </is>
      </c>
      <c r="G134" s="9" t="inlineStr"/>
      <c r="H134" s="9" t="n"/>
    </row>
    <row r="135">
      <c r="A135" s="23" t="n">
        <v>46001</v>
      </c>
      <c r="B135" s="9" t="inlineStr">
        <is>
          <t>The Horn Cafe</t>
        </is>
      </c>
      <c r="C135" s="24" t="n">
        <v>7.09</v>
      </c>
      <c r="D135" s="9" t="inlineStr">
        <is>
          <t>Expense</t>
        </is>
      </c>
      <c r="E135" s="9" t="inlineStr">
        <is>
          <t>Dining</t>
        </is>
      </c>
      <c r="F135" s="9" t="inlineStr">
        <is>
          <t>Checking</t>
        </is>
      </c>
      <c r="G135" s="9" t="inlineStr"/>
      <c r="H135" s="9" t="n"/>
    </row>
    <row r="136">
      <c r="A136" s="23" t="n">
        <v>46001</v>
      </c>
      <c r="B136" s="9" t="inlineStr">
        <is>
          <t>Kyuramen</t>
        </is>
      </c>
      <c r="C136" s="24" t="n">
        <v>36.23</v>
      </c>
      <c r="D136" s="9" t="inlineStr">
        <is>
          <t>Expense</t>
        </is>
      </c>
      <c r="E136" s="9" t="inlineStr">
        <is>
          <t>Misc</t>
        </is>
      </c>
      <c r="F136" s="9" t="inlineStr">
        <is>
          <t>Checking</t>
        </is>
      </c>
      <c r="G136" s="9" t="inlineStr"/>
      <c r="H136" s="9" t="n"/>
    </row>
    <row r="137">
      <c r="A137" s="23" t="n">
        <v>46001</v>
      </c>
      <c r="B137" s="9" t="inlineStr">
        <is>
          <t>Mama Bread</t>
        </is>
      </c>
      <c r="C137" s="24" t="n">
        <v>8.73</v>
      </c>
      <c r="D137" s="9" t="inlineStr">
        <is>
          <t>Expense</t>
        </is>
      </c>
      <c r="E137" s="9" t="inlineStr">
        <is>
          <t>Misc</t>
        </is>
      </c>
      <c r="F137" s="9" t="inlineStr">
        <is>
          <t>Checking</t>
        </is>
      </c>
      <c r="G137" s="9" t="inlineStr"/>
      <c r="H137" s="9" t="n"/>
    </row>
    <row r="138">
      <c r="A138" s="23" t="n">
        <v>46001</v>
      </c>
      <c r="B138" s="9" t="inlineStr">
        <is>
          <t>Van Leeuwen</t>
        </is>
      </c>
      <c r="C138" s="24" t="n">
        <v>8.24</v>
      </c>
      <c r="D138" s="9" t="inlineStr">
        <is>
          <t>Expense</t>
        </is>
      </c>
      <c r="E138" s="9" t="inlineStr">
        <is>
          <t>Misc</t>
        </is>
      </c>
      <c r="F138" s="9" t="inlineStr">
        <is>
          <t>Checking</t>
        </is>
      </c>
      <c r="G138" s="9" t="inlineStr"/>
      <c r="H138" s="9" t="n"/>
    </row>
    <row r="139">
      <c r="A139" s="23" t="n">
        <v>46001</v>
      </c>
      <c r="B139" s="9" t="inlineStr">
        <is>
          <t>Belcourt Theatre</t>
        </is>
      </c>
      <c r="C139" s="24" t="n">
        <v>27</v>
      </c>
      <c r="D139" s="9" t="inlineStr">
        <is>
          <t>Expense</t>
        </is>
      </c>
      <c r="E139" s="9" t="inlineStr">
        <is>
          <t>Misc</t>
        </is>
      </c>
      <c r="F139" s="9" t="inlineStr">
        <is>
          <t>Checking</t>
        </is>
      </c>
      <c r="G139" s="9" t="inlineStr"/>
      <c r="H139" s="9" t="n"/>
    </row>
    <row r="140">
      <c r="A140" s="23" t="n">
        <v>46001</v>
      </c>
      <c r="B140" s="9" t="inlineStr">
        <is>
          <t>Groceries bar</t>
        </is>
      </c>
      <c r="C140" s="24" t="n">
        <v>45</v>
      </c>
      <c r="D140" s="9" t="inlineStr">
        <is>
          <t>Expense</t>
        </is>
      </c>
      <c r="E140" s="9" t="inlineStr">
        <is>
          <t>Misc</t>
        </is>
      </c>
      <c r="F140" s="9" t="inlineStr">
        <is>
          <t>Checking</t>
        </is>
      </c>
      <c r="G140" s="9" t="inlineStr"/>
      <c r="H140" s="9" t="n"/>
    </row>
    <row r="141">
      <c r="A141" s="23" t="n">
        <v>46000</v>
      </c>
      <c r="B141" s="9" t="inlineStr">
        <is>
          <t>Paypal payment</t>
        </is>
      </c>
      <c r="C141" s="24" t="n">
        <v>24</v>
      </c>
      <c r="D141" s="9" t="inlineStr">
        <is>
          <t>Transfer</t>
        </is>
      </c>
      <c r="E141" s="9" t="inlineStr">
        <is>
          <t>Transfer</t>
        </is>
      </c>
      <c r="F141" s="9" t="inlineStr">
        <is>
          <t>Checking</t>
        </is>
      </c>
      <c r="G141" s="9" t="inlineStr"/>
      <c r="H141" s="9" t="n"/>
    </row>
    <row r="142">
      <c r="A142" s="23" t="n">
        <v>46000</v>
      </c>
      <c r="B142" s="9" t="inlineStr">
        <is>
          <t>Uber from ai</t>
        </is>
      </c>
      <c r="C142" s="24" t="n">
        <v>21</v>
      </c>
      <c r="D142" s="9" t="inlineStr">
        <is>
          <t>Expense</t>
        </is>
      </c>
      <c r="E142" s="9" t="inlineStr">
        <is>
          <t>Transit</t>
        </is>
      </c>
      <c r="F142" s="9" t="inlineStr">
        <is>
          <t>Checking</t>
        </is>
      </c>
      <c r="G142" s="9" t="inlineStr"/>
      <c r="H142" s="9" t="n"/>
    </row>
    <row r="143">
      <c r="A143" s="23" t="n">
        <v>46000</v>
      </c>
      <c r="B143" s="9" t="inlineStr">
        <is>
          <t>Turo car rental</t>
        </is>
      </c>
      <c r="C143" s="24" t="n">
        <v>408</v>
      </c>
      <c r="D143" s="9" t="inlineStr">
        <is>
          <t>Expense</t>
        </is>
      </c>
      <c r="E143" s="9" t="inlineStr">
        <is>
          <t>Rent</t>
        </is>
      </c>
      <c r="F143" s="9" t="inlineStr">
        <is>
          <t>Checking</t>
        </is>
      </c>
      <c r="G143" s="9" t="inlineStr"/>
      <c r="H143" s="9" t="n"/>
    </row>
    <row r="144">
      <c r="A144" s="23" t="n">
        <v>46000</v>
      </c>
      <c r="B144" s="9" t="inlineStr">
        <is>
          <t>Uber holiday party 1</t>
        </is>
      </c>
      <c r="C144" s="24" t="n">
        <v>8</v>
      </c>
      <c r="D144" s="9" t="inlineStr">
        <is>
          <t>Expense</t>
        </is>
      </c>
      <c r="E144" s="9" t="inlineStr">
        <is>
          <t>Transit</t>
        </is>
      </c>
      <c r="F144" s="9" t="inlineStr">
        <is>
          <t>Checking</t>
        </is>
      </c>
      <c r="G144" s="9" t="inlineStr"/>
      <c r="H144" s="9" t="n"/>
    </row>
    <row r="145">
      <c r="A145" s="23" t="n">
        <v>46000</v>
      </c>
      <c r="B145" s="9" t="inlineStr">
        <is>
          <t>Uber holiday party 2</t>
        </is>
      </c>
      <c r="C145" s="24" t="n">
        <v>7</v>
      </c>
      <c r="D145" s="9" t="inlineStr">
        <is>
          <t>Expense</t>
        </is>
      </c>
      <c r="E145" s="9" t="inlineStr">
        <is>
          <t>Transit</t>
        </is>
      </c>
      <c r="F145" s="9" t="inlineStr">
        <is>
          <t>Checking</t>
        </is>
      </c>
      <c r="G145" s="9" t="inlineStr"/>
      <c r="H145" s="9" t="n"/>
    </row>
    <row r="146">
      <c r="A146" s="23" t="n">
        <v>46000</v>
      </c>
      <c r="B146" s="9" t="inlineStr">
        <is>
          <t>Taco Bell</t>
        </is>
      </c>
      <c r="C146" s="24" t="n">
        <v>18</v>
      </c>
      <c r="D146" s="9" t="inlineStr">
        <is>
          <t>Expense</t>
        </is>
      </c>
      <c r="E146" s="9" t="inlineStr">
        <is>
          <t>Misc</t>
        </is>
      </c>
      <c r="F146" s="9" t="inlineStr">
        <is>
          <t>Checking</t>
        </is>
      </c>
      <c r="G146" s="9" t="inlineStr"/>
      <c r="H146" s="9" t="n"/>
    </row>
    <row r="147">
      <c r="A147" s="23" t="n">
        <v>45999</v>
      </c>
      <c r="B147" s="9" t="inlineStr">
        <is>
          <t>LGA Airport food</t>
        </is>
      </c>
      <c r="C147" s="24" t="n">
        <v>12</v>
      </c>
      <c r="D147" s="9" t="inlineStr">
        <is>
          <t>Expense</t>
        </is>
      </c>
      <c r="E147" s="9" t="inlineStr">
        <is>
          <t>Misc</t>
        </is>
      </c>
      <c r="F147" s="9" t="inlineStr">
        <is>
          <t>Checking</t>
        </is>
      </c>
      <c r="G147" s="9" t="inlineStr"/>
      <c r="H147" s="9" t="n"/>
    </row>
    <row r="148">
      <c r="A148" s="23" t="n">
        <v>45999</v>
      </c>
      <c r="B148" s="9" t="inlineStr">
        <is>
          <t>Barista Parlor</t>
        </is>
      </c>
      <c r="C148" s="24" t="n">
        <v>8</v>
      </c>
      <c r="D148" s="9" t="inlineStr">
        <is>
          <t>Expense</t>
        </is>
      </c>
      <c r="E148" s="9" t="inlineStr">
        <is>
          <t>Misc</t>
        </is>
      </c>
      <c r="F148" s="9" t="inlineStr">
        <is>
          <t>Checking</t>
        </is>
      </c>
      <c r="G148" s="9" t="inlineStr"/>
      <c r="H148" s="9" t="n"/>
    </row>
    <row r="149">
      <c r="A149" s="23" t="n">
        <v>45999</v>
      </c>
      <c r="B149" s="9" t="inlineStr">
        <is>
          <t>Goodwill</t>
        </is>
      </c>
      <c r="C149" s="24" t="n">
        <v>17</v>
      </c>
      <c r="D149" s="9" t="inlineStr">
        <is>
          <t>Expense</t>
        </is>
      </c>
      <c r="E149" s="9" t="inlineStr">
        <is>
          <t>Misc</t>
        </is>
      </c>
      <c r="F149" s="9" t="inlineStr">
        <is>
          <t>Checking</t>
        </is>
      </c>
      <c r="G149" s="9" t="inlineStr"/>
      <c r="H149" s="9" t="n"/>
    </row>
    <row r="150">
      <c r="A150" s="23" t="n">
        <v>45999</v>
      </c>
      <c r="B150" s="9" t="inlineStr">
        <is>
          <t>Sprouts</t>
        </is>
      </c>
      <c r="C150" s="24" t="n">
        <v>25</v>
      </c>
      <c r="D150" s="9" t="inlineStr">
        <is>
          <t>Expense</t>
        </is>
      </c>
      <c r="E150" s="9" t="inlineStr">
        <is>
          <t>Misc</t>
        </is>
      </c>
      <c r="F150" s="9" t="inlineStr">
        <is>
          <t>Checking</t>
        </is>
      </c>
      <c r="G150" s="9" t="inlineStr"/>
      <c r="H150" s="9" t="n"/>
    </row>
    <row r="151">
      <c r="A151" s="23" t="n">
        <v>45999</v>
      </c>
      <c r="B151" s="9" t="inlineStr">
        <is>
          <t>Dollar general</t>
        </is>
      </c>
      <c r="C151" s="24" t="n">
        <v>9</v>
      </c>
      <c r="D151" s="9" t="inlineStr">
        <is>
          <t>Expense</t>
        </is>
      </c>
      <c r="E151" s="9" t="inlineStr">
        <is>
          <t>Misc</t>
        </is>
      </c>
      <c r="F151" s="9" t="inlineStr">
        <is>
          <t>Checking</t>
        </is>
      </c>
      <c r="G151" s="9" t="inlineStr"/>
      <c r="H151" s="9" t="n"/>
    </row>
    <row r="152">
      <c r="A152" s="23" t="n">
        <v>45999</v>
      </c>
      <c r="B152" s="9" t="inlineStr">
        <is>
          <t>Osa Coffe</t>
        </is>
      </c>
      <c r="C152" s="24" t="n">
        <v>10.1</v>
      </c>
      <c r="D152" s="9" t="inlineStr">
        <is>
          <t>Expense</t>
        </is>
      </c>
      <c r="E152" s="9" t="inlineStr">
        <is>
          <t>Misc</t>
        </is>
      </c>
      <c r="F152" s="9" t="inlineStr">
        <is>
          <t>Checking</t>
        </is>
      </c>
      <c r="G152" s="9" t="inlineStr"/>
      <c r="H152" s="9" t="n"/>
    </row>
    <row r="153">
      <c r="A153" s="23" t="n">
        <v>45998</v>
      </c>
      <c r="B153" s="9" t="inlineStr">
        <is>
          <t>Publix</t>
        </is>
      </c>
      <c r="C153" s="24" t="n">
        <v>41.12</v>
      </c>
      <c r="D153" s="9" t="inlineStr">
        <is>
          <t>Expense</t>
        </is>
      </c>
      <c r="E153" s="9" t="inlineStr">
        <is>
          <t>Misc</t>
        </is>
      </c>
      <c r="F153" s="9" t="inlineStr">
        <is>
          <t>Checking</t>
        </is>
      </c>
      <c r="G153" s="9" t="inlineStr"/>
      <c r="H153" s="9" t="n"/>
    </row>
    <row r="154">
      <c r="A154" s="23" t="n">
        <v>45996</v>
      </c>
      <c r="B154" s="9" t="inlineStr">
        <is>
          <t>Uber to LH Nashville</t>
        </is>
      </c>
      <c r="C154" s="24" t="n">
        <v>21</v>
      </c>
      <c r="D154" s="9" t="inlineStr">
        <is>
          <t>Expense</t>
        </is>
      </c>
      <c r="E154" s="9" t="inlineStr">
        <is>
          <t>Transit</t>
        </is>
      </c>
      <c r="F154" s="9" t="inlineStr">
        <is>
          <t>Checking</t>
        </is>
      </c>
      <c r="G154" s="9" t="inlineStr"/>
      <c r="H154" s="9" t="n"/>
    </row>
    <row r="155">
      <c r="A155" s="23" t="n">
        <v>45995</v>
      </c>
      <c r="B155" s="9" t="inlineStr">
        <is>
          <t>Glasses Appt</t>
        </is>
      </c>
      <c r="C155" s="24" t="n">
        <v>319.2</v>
      </c>
      <c r="D155" s="9" t="inlineStr">
        <is>
          <t>Expense</t>
        </is>
      </c>
      <c r="E155" s="9" t="inlineStr">
        <is>
          <t>Misc</t>
        </is>
      </c>
      <c r="F155" s="9" t="inlineStr">
        <is>
          <t>Apple Card</t>
        </is>
      </c>
      <c r="G155" s="9" t="inlineStr">
        <is>
          <t>Roberto</t>
        </is>
      </c>
      <c r="H155" s="9" t="n"/>
    </row>
    <row r="156">
      <c r="A156" s="23" t="n">
        <v>45994</v>
      </c>
      <c r="B156" s="9" t="inlineStr">
        <is>
          <t>Bass Guitar Repair</t>
        </is>
      </c>
      <c r="C156" s="24" t="n">
        <v>150</v>
      </c>
      <c r="D156" s="9" t="inlineStr">
        <is>
          <t>Expense</t>
        </is>
      </c>
      <c r="E156" s="9" t="inlineStr">
        <is>
          <t>Misc</t>
        </is>
      </c>
      <c r="F156" s="9" t="inlineStr">
        <is>
          <t>Checking</t>
        </is>
      </c>
      <c r="G156" s="9" t="inlineStr">
        <is>
          <t>Roberto</t>
        </is>
      </c>
      <c r="H156" s="9" t="n"/>
    </row>
    <row r="157">
      <c r="A157" s="23" t="n">
        <v>45993</v>
      </c>
      <c r="B157" s="9" t="inlineStr">
        <is>
          <t>Animal (Bar)</t>
        </is>
      </c>
      <c r="C157" s="24" t="n">
        <v>12</v>
      </c>
      <c r="D157" s="9" t="inlineStr">
        <is>
          <t>Expense</t>
        </is>
      </c>
      <c r="E157" s="9" t="inlineStr">
        <is>
          <t>Misc</t>
        </is>
      </c>
      <c r="F157" s="9" t="inlineStr">
        <is>
          <t>Checking</t>
        </is>
      </c>
      <c r="G157" s="9" t="inlineStr">
        <is>
          <t>Roberto</t>
        </is>
      </c>
      <c r="H157" s="9" t="n"/>
    </row>
    <row r="158">
      <c r="A158" s="23" t="n">
        <v>45993</v>
      </c>
      <c r="B158" s="9" t="inlineStr">
        <is>
          <t>Bodega</t>
        </is>
      </c>
      <c r="C158" s="24" t="n">
        <v>8</v>
      </c>
      <c r="D158" s="9" t="inlineStr">
        <is>
          <t>Expense</t>
        </is>
      </c>
      <c r="E158" s="9" t="inlineStr">
        <is>
          <t>Dining</t>
        </is>
      </c>
      <c r="F158" s="9" t="inlineStr">
        <is>
          <t>Checking</t>
        </is>
      </c>
      <c r="G158" s="9" t="inlineStr">
        <is>
          <t>Roberto</t>
        </is>
      </c>
      <c r="H158" s="9" t="n"/>
    </row>
    <row r="159">
      <c r="A159" s="23" t="n">
        <v>45992</v>
      </c>
      <c r="B159" s="9" t="inlineStr">
        <is>
          <t>Curtains</t>
        </is>
      </c>
      <c r="C159" s="24" t="n">
        <v>80</v>
      </c>
      <c r="D159" s="9" t="inlineStr">
        <is>
          <t>Expense</t>
        </is>
      </c>
      <c r="E159" s="9" t="inlineStr">
        <is>
          <t>Misc</t>
        </is>
      </c>
      <c r="F159" s="9" t="inlineStr">
        <is>
          <t>Checking</t>
        </is>
      </c>
      <c r="G159" s="9" t="inlineStr">
        <is>
          <t>Roberto</t>
        </is>
      </c>
      <c r="H159" s="9" t="n"/>
    </row>
    <row r="160">
      <c r="A160" s="23" t="n">
        <v>45992</v>
      </c>
      <c r="B160" s="9" t="inlineStr">
        <is>
          <t>Adam T5v Monitors</t>
        </is>
      </c>
      <c r="C160" s="24" t="n">
        <v>270</v>
      </c>
      <c r="D160" s="9" t="inlineStr">
        <is>
          <t>Expense</t>
        </is>
      </c>
      <c r="E160" s="9" t="inlineStr">
        <is>
          <t>Misc</t>
        </is>
      </c>
      <c r="F160" s="9" t="inlineStr">
        <is>
          <t>Checking</t>
        </is>
      </c>
      <c r="G160" s="9" t="inlineStr">
        <is>
          <t>Roberto</t>
        </is>
      </c>
      <c r="H160" s="9" t="n"/>
    </row>
    <row r="161">
      <c r="A161" s="23" t="n">
        <v>45992</v>
      </c>
      <c r="B161" s="9" t="inlineStr">
        <is>
          <t>Grocery (Doordash)</t>
        </is>
      </c>
      <c r="C161" s="24" t="n">
        <v>58</v>
      </c>
      <c r="D161" s="9" t="inlineStr">
        <is>
          <t>Expense</t>
        </is>
      </c>
      <c r="E161" s="9" t="inlineStr">
        <is>
          <t>Grocery</t>
        </is>
      </c>
      <c r="F161" s="9" t="inlineStr">
        <is>
          <t>Checking</t>
        </is>
      </c>
      <c r="G161" s="9" t="inlineStr">
        <is>
          <t>Cliff/Roberto</t>
        </is>
      </c>
      <c r="H161" s="9" t="inlineStr">
        <is>
          <t>6x Thin Chicken Cutlets, 5x 12-ct eggs, 4x Mozzarella Cheese, 3x Almond Milk, 1x .5 gal Milk, 2x Multigrain, 10x Tuna, 2x Yogurt, 1 Honey, 2x Refried Beans | 10 days worth of groceries</t>
        </is>
      </c>
    </row>
    <row r="162">
      <c r="A162" s="23" t="n">
        <v>45989</v>
      </c>
      <c r="B162" s="9" t="inlineStr">
        <is>
          <t>TikTokShop</t>
        </is>
      </c>
      <c r="C162" s="24" t="n">
        <v>230</v>
      </c>
      <c r="D162" s="9" t="inlineStr">
        <is>
          <t>Expense</t>
        </is>
      </c>
      <c r="E162" s="9" t="inlineStr">
        <is>
          <t>Shopping</t>
        </is>
      </c>
      <c r="F162" s="9" t="inlineStr">
        <is>
          <t>Checking</t>
        </is>
      </c>
      <c r="G162" s="9" t="inlineStr">
        <is>
          <t>Roberto</t>
        </is>
      </c>
      <c r="H162" s="9" t="n"/>
    </row>
    <row r="163">
      <c r="A163" s="23" t="n">
        <v>45989</v>
      </c>
      <c r="B163" s="9" t="inlineStr">
        <is>
          <t>Blue Bottle Coffee</t>
        </is>
      </c>
      <c r="C163" s="24" t="n">
        <v>8.699999999999999</v>
      </c>
      <c r="D163" s="9" t="inlineStr">
        <is>
          <t>Expense</t>
        </is>
      </c>
      <c r="E163" s="9" t="inlineStr">
        <is>
          <t>Dining</t>
        </is>
      </c>
      <c r="F163" s="9" t="inlineStr">
        <is>
          <t>Checking</t>
        </is>
      </c>
      <c r="G163" s="9" t="inlineStr"/>
      <c r="H163" s="9" t="n"/>
    </row>
    <row r="164">
      <c r="A164" s="23" t="n">
        <v>45989</v>
      </c>
      <c r="B164" s="9" t="inlineStr">
        <is>
          <t>Dining Chairs</t>
        </is>
      </c>
      <c r="C164" s="24" t="n">
        <v>0</v>
      </c>
      <c r="D164" s="9" t="inlineStr">
        <is>
          <t>Expense</t>
        </is>
      </c>
      <c r="E164" s="9" t="inlineStr">
        <is>
          <t>Dining</t>
        </is>
      </c>
      <c r="F164" s="9" t="inlineStr">
        <is>
          <t>Checking</t>
        </is>
      </c>
      <c r="G164" s="9" t="inlineStr">
        <is>
          <t>Cliff/Roberto</t>
        </is>
      </c>
      <c r="H164" s="9" t="n"/>
    </row>
    <row r="165">
      <c r="A165" s="23" t="n">
        <v>45986</v>
      </c>
      <c r="B165" s="9" t="inlineStr">
        <is>
          <t>Amazon</t>
        </is>
      </c>
      <c r="C165" s="24" t="n">
        <v>24.81</v>
      </c>
      <c r="D165" s="9" t="inlineStr">
        <is>
          <t>Expense</t>
        </is>
      </c>
      <c r="E165" s="9" t="inlineStr">
        <is>
          <t>Shopping</t>
        </is>
      </c>
      <c r="F165" s="9" t="inlineStr">
        <is>
          <t>Checking</t>
        </is>
      </c>
      <c r="G165" s="9" t="inlineStr">
        <is>
          <t>Roberto</t>
        </is>
      </c>
      <c r="H165" s="9" t="inlineStr">
        <is>
          <t>Charger</t>
        </is>
      </c>
    </row>
    <row r="166">
      <c r="A166" s="23" t="n">
        <v>45986</v>
      </c>
      <c r="B166" s="9" t="inlineStr">
        <is>
          <t>GoFundmE</t>
        </is>
      </c>
      <c r="C166" s="24" t="n">
        <v>20</v>
      </c>
      <c r="D166" s="9" t="inlineStr">
        <is>
          <t>Expense</t>
        </is>
      </c>
      <c r="E166" s="9" t="inlineStr">
        <is>
          <t>Misc</t>
        </is>
      </c>
      <c r="F166" s="9" t="inlineStr">
        <is>
          <t>Checking</t>
        </is>
      </c>
      <c r="G166" s="9" t="inlineStr"/>
      <c r="H166" s="9" t="n"/>
    </row>
    <row r="167">
      <c r="A167" s="23" t="n">
        <v>45984</v>
      </c>
      <c r="B167" s="9" t="inlineStr">
        <is>
          <t>Amazon</t>
        </is>
      </c>
      <c r="C167" s="24" t="n">
        <v>175</v>
      </c>
      <c r="D167" s="9" t="inlineStr">
        <is>
          <t>Expense</t>
        </is>
      </c>
      <c r="E167" s="9" t="inlineStr">
        <is>
          <t>Shopping</t>
        </is>
      </c>
      <c r="F167" s="9" t="inlineStr">
        <is>
          <t>Checking</t>
        </is>
      </c>
      <c r="G167" s="9" t="inlineStr"/>
      <c r="H167" s="9" t="inlineStr">
        <is>
          <t>Mic stand, body oil, sweat pants, wallet, guitar holder, remote, glycolic acid</t>
        </is>
      </c>
    </row>
    <row r="168">
      <c r="A168" s="23" t="n">
        <v>45984</v>
      </c>
      <c r="B168" s="9" t="inlineStr">
        <is>
          <t>Melodyne</t>
        </is>
      </c>
      <c r="C168" s="24" t="n">
        <v>75</v>
      </c>
      <c r="D168" s="9" t="inlineStr">
        <is>
          <t>Expense</t>
        </is>
      </c>
      <c r="E168" s="9" t="inlineStr">
        <is>
          <t>Misc</t>
        </is>
      </c>
      <c r="F168" s="9" t="inlineStr">
        <is>
          <t>Checking</t>
        </is>
      </c>
      <c r="G168" s="9" t="inlineStr"/>
      <c r="H168" s="9" t="inlineStr">
        <is>
          <t>Used Sweetwater and Celemony</t>
        </is>
      </c>
    </row>
    <row r="169">
      <c r="A169" s="23" t="n">
        <v>45983</v>
      </c>
      <c r="B169" s="9" t="inlineStr">
        <is>
          <t>Wheelhouse</t>
        </is>
      </c>
      <c r="C169" s="24" t="n">
        <v>10.16</v>
      </c>
      <c r="D169" s="9" t="inlineStr">
        <is>
          <t>Expense</t>
        </is>
      </c>
      <c r="E169" s="9" t="inlineStr">
        <is>
          <t>Misc</t>
        </is>
      </c>
      <c r="F169" s="9" t="inlineStr">
        <is>
          <t>Bilt</t>
        </is>
      </c>
      <c r="G169" s="9" t="inlineStr"/>
      <c r="H169" s="9" t="n"/>
    </row>
    <row r="170">
      <c r="A170" s="23" t="n">
        <v>45982</v>
      </c>
      <c r="B170" s="9" t="inlineStr">
        <is>
          <t>Bodega</t>
        </is>
      </c>
      <c r="C170" s="24" t="n">
        <v>1.3</v>
      </c>
      <c r="D170" s="9" t="inlineStr">
        <is>
          <t>Expense</t>
        </is>
      </c>
      <c r="E170" s="9" t="inlineStr">
        <is>
          <t>Dining</t>
        </is>
      </c>
      <c r="F170" s="9" t="inlineStr">
        <is>
          <t>Checking</t>
        </is>
      </c>
      <c r="G170" s="9" t="inlineStr"/>
      <c r="H170" s="9" t="n"/>
    </row>
    <row r="171">
      <c r="A171" s="23" t="n">
        <v>45982</v>
      </c>
      <c r="B171" s="9" t="inlineStr">
        <is>
          <t>Bodega</t>
        </is>
      </c>
      <c r="C171" s="24" t="n">
        <v>2.6</v>
      </c>
      <c r="D171" s="9" t="inlineStr">
        <is>
          <t>Expense</t>
        </is>
      </c>
      <c r="E171" s="9" t="inlineStr">
        <is>
          <t>Dining</t>
        </is>
      </c>
      <c r="F171" s="9" t="inlineStr">
        <is>
          <t>Checking</t>
        </is>
      </c>
      <c r="G171" s="9" t="inlineStr"/>
      <c r="H171" s="9" t="n"/>
    </row>
    <row r="172">
      <c r="A172" s="23" t="n">
        <v>45982</v>
      </c>
      <c r="B172" s="9" t="inlineStr">
        <is>
          <t>Bodega</t>
        </is>
      </c>
      <c r="C172" s="24" t="n">
        <v>5.2</v>
      </c>
      <c r="D172" s="9" t="inlineStr">
        <is>
          <t>Expense</t>
        </is>
      </c>
      <c r="E172" s="9" t="inlineStr">
        <is>
          <t>Dining</t>
        </is>
      </c>
      <c r="F172" s="9" t="inlineStr">
        <is>
          <t>Checking</t>
        </is>
      </c>
      <c r="G172" s="9" t="inlineStr"/>
      <c r="H172" s="9" t="n"/>
    </row>
    <row r="173">
      <c r="A173" s="23" t="n">
        <v>45982</v>
      </c>
      <c r="B173" s="9" t="inlineStr">
        <is>
          <t>Bodega</t>
        </is>
      </c>
      <c r="C173" s="24" t="n">
        <v>6.24</v>
      </c>
      <c r="D173" s="9" t="inlineStr">
        <is>
          <t>Expense</t>
        </is>
      </c>
      <c r="E173" s="9" t="inlineStr">
        <is>
          <t>Dining</t>
        </is>
      </c>
      <c r="F173" s="9" t="inlineStr">
        <is>
          <t>Checking</t>
        </is>
      </c>
      <c r="G173" s="9" t="inlineStr"/>
      <c r="H173" s="9" t="n"/>
    </row>
    <row r="174">
      <c r="A174" s="23" t="n">
        <v>45982</v>
      </c>
      <c r="B174" s="9" t="inlineStr">
        <is>
          <t>Bodega</t>
        </is>
      </c>
      <c r="C174" s="24" t="n">
        <v>7.41</v>
      </c>
      <c r="D174" s="9" t="inlineStr">
        <is>
          <t>Expense</t>
        </is>
      </c>
      <c r="E174" s="9" t="inlineStr">
        <is>
          <t>Dining</t>
        </is>
      </c>
      <c r="F174" s="9" t="inlineStr">
        <is>
          <t>Checking</t>
        </is>
      </c>
      <c r="G174" s="9" t="inlineStr"/>
      <c r="H174" s="9" t="n"/>
    </row>
    <row r="175">
      <c r="A175" s="23" t="n">
        <v>45982</v>
      </c>
      <c r="B175" s="9" t="inlineStr">
        <is>
          <t>Key Food</t>
        </is>
      </c>
      <c r="C175" s="24" t="n">
        <v>4.69</v>
      </c>
      <c r="D175" s="9" t="inlineStr">
        <is>
          <t>Expense</t>
        </is>
      </c>
      <c r="E175" s="9" t="inlineStr">
        <is>
          <t>Misc</t>
        </is>
      </c>
      <c r="F175" s="9" t="inlineStr">
        <is>
          <t>Checking</t>
        </is>
      </c>
      <c r="G175" s="9" t="inlineStr"/>
      <c r="H175" s="9" t="n"/>
    </row>
    <row r="176">
      <c r="A176" s="23" t="n">
        <v>45982</v>
      </c>
      <c r="B176" s="9" t="inlineStr">
        <is>
          <t>Rosie's</t>
        </is>
      </c>
      <c r="C176" s="24" t="n">
        <v>13.06</v>
      </c>
      <c r="D176" s="9" t="inlineStr">
        <is>
          <t>Expense</t>
        </is>
      </c>
      <c r="E176" s="9" t="inlineStr">
        <is>
          <t>Misc</t>
        </is>
      </c>
      <c r="F176" s="9" t="inlineStr">
        <is>
          <t>Bilt</t>
        </is>
      </c>
      <c r="G176" s="9" t="inlineStr"/>
      <c r="H176" s="9" t="n"/>
    </row>
    <row r="177">
      <c r="A177" s="23" t="n">
        <v>45980</v>
      </c>
      <c r="B177" s="9" t="inlineStr">
        <is>
          <t>Bodega</t>
        </is>
      </c>
      <c r="C177" s="24" t="n">
        <v>6.24</v>
      </c>
      <c r="D177" s="9" t="inlineStr">
        <is>
          <t>Expense</t>
        </is>
      </c>
      <c r="E177" s="9" t="inlineStr">
        <is>
          <t>Dining</t>
        </is>
      </c>
      <c r="F177" s="9" t="inlineStr">
        <is>
          <t>Checking</t>
        </is>
      </c>
      <c r="G177" s="9" t="inlineStr"/>
      <c r="H177" s="9" t="n"/>
    </row>
    <row r="178">
      <c r="A178" s="23" t="n">
        <v>45980</v>
      </c>
      <c r="B178" s="9" t="inlineStr">
        <is>
          <t>City Fresh</t>
        </is>
      </c>
      <c r="C178" s="24" t="n">
        <v>20.97</v>
      </c>
      <c r="D178" s="9" t="inlineStr">
        <is>
          <t>Expense</t>
        </is>
      </c>
      <c r="E178" s="9" t="inlineStr">
        <is>
          <t>Grocery</t>
        </is>
      </c>
      <c r="F178" s="9" t="inlineStr">
        <is>
          <t>Checking</t>
        </is>
      </c>
      <c r="G178" s="9" t="inlineStr"/>
      <c r="H178" s="9" t="inlineStr">
        <is>
          <t>Bacon x3</t>
        </is>
      </c>
    </row>
    <row r="179">
      <c r="A179" s="23" t="n">
        <v>45979</v>
      </c>
      <c r="B179" s="9" t="inlineStr">
        <is>
          <t>Crossroads</t>
        </is>
      </c>
      <c r="C179" s="24" t="n">
        <v>7.62</v>
      </c>
      <c r="D179" s="9" t="inlineStr">
        <is>
          <t>Expense</t>
        </is>
      </c>
      <c r="E179" s="9" t="inlineStr">
        <is>
          <t>Misc</t>
        </is>
      </c>
      <c r="F179" s="9" t="inlineStr">
        <is>
          <t>Checking</t>
        </is>
      </c>
      <c r="G179" s="9" t="inlineStr"/>
      <c r="H179" s="9" t="n"/>
    </row>
    <row r="180">
      <c r="A180" s="23" t="n">
        <v>45979</v>
      </c>
      <c r="B180" s="9" t="inlineStr">
        <is>
          <t>Bodega</t>
        </is>
      </c>
      <c r="C180" s="24" t="n">
        <v>12.15</v>
      </c>
      <c r="D180" s="9" t="inlineStr">
        <is>
          <t>Expense</t>
        </is>
      </c>
      <c r="E180" s="9" t="inlineStr">
        <is>
          <t>Dining</t>
        </is>
      </c>
      <c r="F180" s="9" t="inlineStr">
        <is>
          <t>Checking</t>
        </is>
      </c>
      <c r="G180" s="9" t="inlineStr"/>
      <c r="H180" s="9" t="n"/>
    </row>
    <row r="181">
      <c r="A181" s="23" t="n">
        <v>45979</v>
      </c>
      <c r="B181" s="9" t="inlineStr">
        <is>
          <t>Grocery (Doordash)</t>
        </is>
      </c>
      <c r="C181" s="24" t="n">
        <v>45</v>
      </c>
      <c r="D181" s="9" t="inlineStr">
        <is>
          <t>Expense</t>
        </is>
      </c>
      <c r="E181" s="9" t="inlineStr">
        <is>
          <t>Grocery</t>
        </is>
      </c>
      <c r="F181" s="9" t="inlineStr">
        <is>
          <t>Checking</t>
        </is>
      </c>
      <c r="G181" s="9" t="inlineStr">
        <is>
          <t>Cliff/Roberto</t>
        </is>
      </c>
      <c r="H181" s="9" t="inlineStr">
        <is>
          <t>Total 89.61</t>
        </is>
      </c>
    </row>
    <row r="182">
      <c r="A182" s="23" t="n">
        <v>45978</v>
      </c>
      <c r="B182" s="9" t="inlineStr">
        <is>
          <t>Fine Time</t>
        </is>
      </c>
      <c r="C182" s="24" t="n">
        <v>11.29</v>
      </c>
      <c r="D182" s="9" t="inlineStr">
        <is>
          <t>Expense</t>
        </is>
      </c>
      <c r="E182" s="9" t="inlineStr">
        <is>
          <t>Dining</t>
        </is>
      </c>
      <c r="F182" s="9" t="inlineStr">
        <is>
          <t>Checking</t>
        </is>
      </c>
      <c r="G182" s="9" t="inlineStr"/>
      <c r="H182" s="9" t="n"/>
    </row>
    <row r="183">
      <c r="A183" s="23" t="n">
        <v>45978</v>
      </c>
      <c r="B183" s="9" t="inlineStr">
        <is>
          <t>Left Hand Path</t>
        </is>
      </c>
      <c r="C183" s="24" t="n">
        <v>15.15</v>
      </c>
      <c r="D183" s="9" t="inlineStr">
        <is>
          <t>Expense</t>
        </is>
      </c>
      <c r="E183" s="9" t="inlineStr">
        <is>
          <t>Misc</t>
        </is>
      </c>
      <c r="F183" s="9" t="inlineStr">
        <is>
          <t>Checking</t>
        </is>
      </c>
      <c r="G183" s="9" t="inlineStr"/>
      <c r="H183" s="9" t="n"/>
    </row>
    <row r="184">
      <c r="A184" s="23" t="n">
        <v>45978</v>
      </c>
      <c r="B184" s="9" t="inlineStr">
        <is>
          <t>Left Hand Path</t>
        </is>
      </c>
      <c r="C184" s="24" t="n">
        <v>18.04</v>
      </c>
      <c r="D184" s="9" t="inlineStr">
        <is>
          <t>Expense</t>
        </is>
      </c>
      <c r="E184" s="9" t="inlineStr">
        <is>
          <t>Misc</t>
        </is>
      </c>
      <c r="F184" s="9" t="inlineStr">
        <is>
          <t>Checking</t>
        </is>
      </c>
      <c r="G184" s="9" t="inlineStr"/>
      <c r="H184" s="9" t="n"/>
    </row>
    <row r="185">
      <c r="A185" s="23" t="n">
        <v>45978</v>
      </c>
      <c r="B185" s="9" t="inlineStr">
        <is>
          <t>Paragon</t>
        </is>
      </c>
      <c r="C185" s="24" t="n">
        <v>21.04</v>
      </c>
      <c r="D185" s="9" t="inlineStr">
        <is>
          <t>Expense</t>
        </is>
      </c>
      <c r="E185" s="9" t="inlineStr">
        <is>
          <t>Misc</t>
        </is>
      </c>
      <c r="F185" s="9" t="inlineStr">
        <is>
          <t>Checking</t>
        </is>
      </c>
      <c r="G185" s="9" t="inlineStr"/>
      <c r="H185" s="9" t="n"/>
    </row>
    <row r="186">
      <c r="A186" s="23" t="n">
        <v>45978</v>
      </c>
      <c r="B186" s="9" t="inlineStr">
        <is>
          <t>Uber</t>
        </is>
      </c>
      <c r="C186" s="24" t="n">
        <v>11.67</v>
      </c>
      <c r="D186" s="9" t="inlineStr">
        <is>
          <t>Expense</t>
        </is>
      </c>
      <c r="E186" s="9" t="inlineStr">
        <is>
          <t>Transit</t>
        </is>
      </c>
      <c r="F186" s="9" t="inlineStr">
        <is>
          <t>Checking</t>
        </is>
      </c>
      <c r="G186" s="9" t="inlineStr"/>
      <c r="H186" s="9" t="n"/>
    </row>
    <row r="187">
      <c r="A187" s="23" t="n">
        <v>45978</v>
      </c>
      <c r="B187" s="9" t="inlineStr">
        <is>
          <t>Metro</t>
        </is>
      </c>
      <c r="C187" s="24" t="n">
        <v>19</v>
      </c>
      <c r="D187" s="9" t="inlineStr">
        <is>
          <t>Expense</t>
        </is>
      </c>
      <c r="E187" s="9" t="inlineStr">
        <is>
          <t>Transit</t>
        </is>
      </c>
      <c r="F187" s="9" t="inlineStr">
        <is>
          <t>Checking</t>
        </is>
      </c>
      <c r="G187" s="9" t="inlineStr"/>
      <c r="H187" s="9" t="n"/>
    </row>
    <row r="188">
      <c r="A188" s="23" t="n">
        <v>45978</v>
      </c>
      <c r="B188" s="9" t="inlineStr">
        <is>
          <t>Popeyes</t>
        </is>
      </c>
      <c r="C188" s="24" t="n">
        <v>10.87</v>
      </c>
      <c r="D188" s="9" t="inlineStr">
        <is>
          <t>Expense</t>
        </is>
      </c>
      <c r="E188" s="9" t="inlineStr">
        <is>
          <t>Dining</t>
        </is>
      </c>
      <c r="F188" s="9" t="inlineStr">
        <is>
          <t>Checking</t>
        </is>
      </c>
      <c r="G188" s="9" t="inlineStr"/>
      <c r="H188" s="9" t="n"/>
    </row>
    <row r="189">
      <c r="A189" s="23" t="n">
        <v>45976</v>
      </c>
      <c r="B189" s="9" t="inlineStr">
        <is>
          <t>City Fresh</t>
        </is>
      </c>
      <c r="C189" s="24" t="n">
        <v>16.99</v>
      </c>
      <c r="D189" s="9" t="inlineStr">
        <is>
          <t>Expense</t>
        </is>
      </c>
      <c r="E189" s="9" t="inlineStr">
        <is>
          <t>Grocery</t>
        </is>
      </c>
      <c r="F189" s="9" t="inlineStr">
        <is>
          <t>Checking</t>
        </is>
      </c>
      <c r="G189" s="9" t="inlineStr"/>
      <c r="H189" s="9" t="inlineStr">
        <is>
          <t>Coffee</t>
        </is>
      </c>
    </row>
    <row r="190">
      <c r="A190" s="23" t="n">
        <v>45976</v>
      </c>
      <c r="B190" s="9" t="inlineStr">
        <is>
          <t>Amazon</t>
        </is>
      </c>
      <c r="C190" s="24" t="n">
        <v>33.25</v>
      </c>
      <c r="D190" s="9" t="inlineStr">
        <is>
          <t>Expense</t>
        </is>
      </c>
      <c r="E190" s="9" t="inlineStr">
        <is>
          <t>Shopping</t>
        </is>
      </c>
      <c r="F190" s="9" t="inlineStr">
        <is>
          <t>Checking</t>
        </is>
      </c>
      <c r="G190" s="9" t="inlineStr"/>
      <c r="H190" s="9" t="inlineStr">
        <is>
          <t>Tape + sweat pants for Cliff</t>
        </is>
      </c>
    </row>
    <row r="191">
      <c r="A191" s="23" t="n">
        <v>45976</v>
      </c>
      <c r="B191" s="9" t="inlineStr">
        <is>
          <t>City Fresh</t>
        </is>
      </c>
      <c r="C191" s="24" t="n">
        <v>15.37</v>
      </c>
      <c r="D191" s="9" t="inlineStr">
        <is>
          <t>Expense</t>
        </is>
      </c>
      <c r="E191" s="9" t="inlineStr">
        <is>
          <t>Grocery</t>
        </is>
      </c>
      <c r="F191" s="9" t="inlineStr">
        <is>
          <t>Checking</t>
        </is>
      </c>
      <c r="G191" s="9" t="inlineStr"/>
      <c r="H191" s="9" t="inlineStr">
        <is>
          <t>Sushi + protein bar</t>
        </is>
      </c>
    </row>
    <row r="192">
      <c r="A192" s="23" t="n">
        <v>45975</v>
      </c>
      <c r="B192" s="9" t="inlineStr">
        <is>
          <t>FKA Twigs Ticket</t>
        </is>
      </c>
      <c r="C192" s="24" t="n">
        <v>29.47</v>
      </c>
      <c r="D192" s="9" t="inlineStr">
        <is>
          <t>Expense</t>
        </is>
      </c>
      <c r="E192" s="9" t="inlineStr">
        <is>
          <t>Misc</t>
        </is>
      </c>
      <c r="F192" s="9" t="inlineStr">
        <is>
          <t>Checking</t>
        </is>
      </c>
      <c r="G192" s="9" t="inlineStr"/>
      <c r="H192" s="9" t="n"/>
    </row>
    <row r="193">
      <c r="A193" s="23" t="n">
        <v>45975</v>
      </c>
      <c r="B193" s="9" t="inlineStr">
        <is>
          <t>Selva (w/Ana)</t>
        </is>
      </c>
      <c r="C193" s="24" t="n">
        <v>15.14</v>
      </c>
      <c r="D193" s="9" t="inlineStr">
        <is>
          <t>Expense</t>
        </is>
      </c>
      <c r="E193" s="9" t="inlineStr">
        <is>
          <t>Misc</t>
        </is>
      </c>
      <c r="F193" s="9" t="inlineStr">
        <is>
          <t>Checking</t>
        </is>
      </c>
      <c r="G193" s="9" t="inlineStr"/>
      <c r="H193" s="9" t="n"/>
    </row>
    <row r="194">
      <c r="A194" s="23" t="n">
        <v>45975</v>
      </c>
      <c r="B194" s="9" t="inlineStr">
        <is>
          <t>Bodega on Wall St</t>
        </is>
      </c>
      <c r="C194" s="24" t="n">
        <v>10.13</v>
      </c>
      <c r="D194" s="9" t="inlineStr">
        <is>
          <t>Expense</t>
        </is>
      </c>
      <c r="E194" s="9" t="inlineStr">
        <is>
          <t>Dining</t>
        </is>
      </c>
      <c r="F194" s="9" t="inlineStr">
        <is>
          <t>Checking</t>
        </is>
      </c>
      <c r="G194" s="9" t="inlineStr"/>
      <c r="H194" s="9" t="n"/>
    </row>
    <row r="195">
      <c r="A195" s="23" t="n">
        <v>45975</v>
      </c>
      <c r="B195" s="9" t="inlineStr">
        <is>
          <t>Doordash Popeyes</t>
        </is>
      </c>
      <c r="C195" s="24" t="n">
        <v>19.96</v>
      </c>
      <c r="D195" s="9" t="inlineStr">
        <is>
          <t>Expense</t>
        </is>
      </c>
      <c r="E195" s="9" t="inlineStr">
        <is>
          <t>Grocery</t>
        </is>
      </c>
      <c r="F195" s="9" t="inlineStr">
        <is>
          <t>Checking</t>
        </is>
      </c>
      <c r="G195" s="9" t="inlineStr"/>
      <c r="H195" s="9" t="n"/>
    </row>
    <row r="196">
      <c r="A196" s="23" t="n">
        <v>45975</v>
      </c>
      <c r="B196" s="9" t="inlineStr">
        <is>
          <t>Uber to home (1)</t>
        </is>
      </c>
      <c r="C196" s="24" t="n">
        <v>9.9</v>
      </c>
      <c r="D196" s="9" t="inlineStr">
        <is>
          <t>Expense</t>
        </is>
      </c>
      <c r="E196" s="9" t="inlineStr">
        <is>
          <t>Transit</t>
        </is>
      </c>
      <c r="F196" s="9" t="inlineStr">
        <is>
          <t>Checking</t>
        </is>
      </c>
      <c r="G196" s="9" t="inlineStr"/>
      <c r="H196" s="9" t="inlineStr">
        <is>
          <t>To Twigs</t>
        </is>
      </c>
    </row>
    <row r="197">
      <c r="A197" s="23" t="n">
        <v>45975</v>
      </c>
      <c r="B197" s="9" t="inlineStr">
        <is>
          <t>Uber to club (2)</t>
        </is>
      </c>
      <c r="C197" s="24" t="n">
        <v>11.29</v>
      </c>
      <c r="D197" s="9" t="inlineStr">
        <is>
          <t>Expense</t>
        </is>
      </c>
      <c r="E197" s="9" t="inlineStr">
        <is>
          <t>Transit</t>
        </is>
      </c>
      <c r="F197" s="9" t="inlineStr">
        <is>
          <t>Checking</t>
        </is>
      </c>
      <c r="G197" s="9" t="inlineStr"/>
      <c r="H197" s="9" t="inlineStr">
        <is>
          <t>To Twigs</t>
        </is>
      </c>
    </row>
    <row r="198">
      <c r="A198" s="23" t="n">
        <v>45975</v>
      </c>
      <c r="B198" s="9" t="inlineStr">
        <is>
          <t>154 Scott Drinks</t>
        </is>
      </c>
      <c r="C198" s="24" t="n">
        <v>24.1</v>
      </c>
      <c r="D198" s="9" t="inlineStr">
        <is>
          <t>Expense</t>
        </is>
      </c>
      <c r="E198" s="9" t="inlineStr">
        <is>
          <t>Dining</t>
        </is>
      </c>
      <c r="F198" s="9" t="inlineStr">
        <is>
          <t>Checking</t>
        </is>
      </c>
      <c r="G198" s="9" t="inlineStr"/>
      <c r="H198" s="9" t="inlineStr">
        <is>
          <t>At Twigs</t>
        </is>
      </c>
    </row>
    <row r="199">
      <c r="A199" s="23" t="n">
        <v>45975</v>
      </c>
      <c r="B199" s="9" t="inlineStr">
        <is>
          <t>154 Drinks 2</t>
        </is>
      </c>
      <c r="C199" s="24" t="n">
        <v>18.04</v>
      </c>
      <c r="D199" s="9" t="inlineStr">
        <is>
          <t>Expense</t>
        </is>
      </c>
      <c r="E199" s="9" t="inlineStr">
        <is>
          <t>Dining</t>
        </is>
      </c>
      <c r="F199" s="9" t="inlineStr">
        <is>
          <t>Checking</t>
        </is>
      </c>
      <c r="G199" s="9" t="inlineStr"/>
      <c r="H199" s="9" t="inlineStr">
        <is>
          <t>At Twigs</t>
        </is>
      </c>
    </row>
    <row r="200">
      <c r="A200" s="23" t="n">
        <v>45975</v>
      </c>
      <c r="B200" s="9" t="inlineStr">
        <is>
          <t>Uber home (3)</t>
        </is>
      </c>
      <c r="C200" s="24" t="n">
        <v>11.63</v>
      </c>
      <c r="D200" s="9" t="inlineStr">
        <is>
          <t>Expense</t>
        </is>
      </c>
      <c r="E200" s="9" t="inlineStr">
        <is>
          <t>Transit</t>
        </is>
      </c>
      <c r="F200" s="9" t="inlineStr">
        <is>
          <t>Checking</t>
        </is>
      </c>
      <c r="G200" s="9" t="inlineStr"/>
      <c r="H200" s="9" t="inlineStr">
        <is>
          <t>From Twigs</t>
        </is>
      </c>
    </row>
    <row r="201">
      <c r="A201" s="23" t="n">
        <v>45975</v>
      </c>
      <c r="B201" s="9" t="inlineStr">
        <is>
          <t>Amazon</t>
        </is>
      </c>
      <c r="C201" s="24" t="n">
        <v>20.68</v>
      </c>
      <c r="D201" s="9" t="inlineStr">
        <is>
          <t>Expense</t>
        </is>
      </c>
      <c r="E201" s="9" t="inlineStr">
        <is>
          <t>Shopping</t>
        </is>
      </c>
      <c r="F201" s="9" t="inlineStr">
        <is>
          <t>Checking</t>
        </is>
      </c>
      <c r="G201" s="9" t="inlineStr"/>
      <c r="H201" s="9" t="inlineStr">
        <is>
          <t>Shelving brackets</t>
        </is>
      </c>
    </row>
    <row r="202">
      <c r="A202" s="23" t="n">
        <v>45973</v>
      </c>
      <c r="B202" s="9" t="inlineStr">
        <is>
          <t>City Fresh</t>
        </is>
      </c>
      <c r="C202" s="24" t="n">
        <v>13.98</v>
      </c>
      <c r="D202" s="9" t="inlineStr">
        <is>
          <t>Expense</t>
        </is>
      </c>
      <c r="E202" s="9" t="inlineStr">
        <is>
          <t>Grocery</t>
        </is>
      </c>
      <c r="F202" s="9" t="inlineStr">
        <is>
          <t>Checking</t>
        </is>
      </c>
      <c r="G202" s="9" t="inlineStr"/>
      <c r="H202" s="9" t="inlineStr">
        <is>
          <t>Bacon</t>
        </is>
      </c>
    </row>
    <row r="203">
      <c r="A203" s="23" t="n">
        <v>45972</v>
      </c>
      <c r="B203" s="9" t="inlineStr">
        <is>
          <t>Three Diamond Door</t>
        </is>
      </c>
      <c r="C203" s="24" t="n">
        <v>12.3</v>
      </c>
      <c r="D203" s="9" t="inlineStr">
        <is>
          <t>Expense</t>
        </is>
      </c>
      <c r="E203" s="9" t="inlineStr">
        <is>
          <t>Misc</t>
        </is>
      </c>
      <c r="F203" s="9" t="inlineStr">
        <is>
          <t>Checking</t>
        </is>
      </c>
      <c r="G203" s="9" t="inlineStr"/>
      <c r="H203" s="9" t="inlineStr">
        <is>
          <t>drink with andrew</t>
        </is>
      </c>
    </row>
    <row r="204">
      <c r="A204" s="23" t="n">
        <v>45971</v>
      </c>
      <c r="B204" s="9" t="inlineStr">
        <is>
          <t>Obscure Coffee</t>
        </is>
      </c>
      <c r="C204" s="24" t="n">
        <v>8</v>
      </c>
      <c r="D204" s="9" t="inlineStr">
        <is>
          <t>Expense</t>
        </is>
      </c>
      <c r="E204" s="9" t="inlineStr">
        <is>
          <t>Dining</t>
        </is>
      </c>
      <c r="F204" s="9" t="inlineStr">
        <is>
          <t>Checking</t>
        </is>
      </c>
      <c r="G204" s="9" t="inlineStr"/>
      <c r="H204" s="9" t="n"/>
    </row>
    <row r="205">
      <c r="A205" s="23" t="n">
        <v>45971</v>
      </c>
      <c r="B205" s="9" t="inlineStr">
        <is>
          <t>Amazon</t>
        </is>
      </c>
      <c r="C205" s="24" t="n">
        <v>21.76</v>
      </c>
      <c r="D205" s="9" t="inlineStr">
        <is>
          <t>Expense</t>
        </is>
      </c>
      <c r="E205" s="9" t="inlineStr">
        <is>
          <t>Shopping</t>
        </is>
      </c>
      <c r="F205" s="9" t="inlineStr">
        <is>
          <t>Checking</t>
        </is>
      </c>
      <c r="G205" s="9" t="inlineStr"/>
      <c r="H205" s="9" t="inlineStr">
        <is>
          <t>bulletin board for studio</t>
        </is>
      </c>
    </row>
    <row r="206">
      <c r="A206" s="23" t="n">
        <v>45971</v>
      </c>
      <c r="B206" s="9" t="inlineStr">
        <is>
          <t>Grocery (Doordash)</t>
        </is>
      </c>
      <c r="C206" s="24" t="n">
        <v>105</v>
      </c>
      <c r="D206" s="9" t="inlineStr">
        <is>
          <t>Expense</t>
        </is>
      </c>
      <c r="E206" s="9" t="inlineStr">
        <is>
          <t>Grocery</t>
        </is>
      </c>
      <c r="F206" s="9" t="inlineStr">
        <is>
          <t>Checking</t>
        </is>
      </c>
      <c r="G206" s="9" t="inlineStr">
        <is>
          <t>Cliff/Roberto</t>
        </is>
      </c>
      <c r="H206" s="9" t="n"/>
    </row>
    <row r="207">
      <c r="A207" s="23" t="n">
        <v>45970</v>
      </c>
      <c r="B207" s="9" t="inlineStr">
        <is>
          <t>Amazon</t>
        </is>
      </c>
      <c r="C207" s="24" t="n">
        <v>53.43</v>
      </c>
      <c r="D207" s="9" t="inlineStr">
        <is>
          <t>Expense</t>
        </is>
      </c>
      <c r="E207" s="9" t="inlineStr">
        <is>
          <t>Shopping</t>
        </is>
      </c>
      <c r="F207" s="9" t="inlineStr">
        <is>
          <t>USAA Credit Card</t>
        </is>
      </c>
      <c r="G207" s="9" t="inlineStr"/>
      <c r="H207" s="9" t="inlineStr">
        <is>
          <t>Dettol Soap, key covers, new bath mat, all about love book</t>
        </is>
      </c>
    </row>
    <row r="208">
      <c r="A208" s="23" t="n">
        <v>45967</v>
      </c>
      <c r="B208" s="9" t="inlineStr">
        <is>
          <t>Bodega</t>
        </is>
      </c>
      <c r="C208" s="24" t="n">
        <v>2.8</v>
      </c>
      <c r="D208" s="9" t="inlineStr">
        <is>
          <t>Expense</t>
        </is>
      </c>
      <c r="E208" s="9" t="inlineStr">
        <is>
          <t>Dining</t>
        </is>
      </c>
      <c r="F208" s="9" t="inlineStr">
        <is>
          <t>Checking</t>
        </is>
      </c>
      <c r="G208" s="9" t="inlineStr"/>
      <c r="H208" s="9" t="n"/>
    </row>
    <row r="209">
      <c r="A209" s="23" t="n">
        <v>45967</v>
      </c>
      <c r="B209" s="9" t="inlineStr">
        <is>
          <t>Saint Michel</t>
        </is>
      </c>
      <c r="C209" s="24" t="n">
        <v>7.8</v>
      </c>
      <c r="D209" s="9" t="inlineStr">
        <is>
          <t>Expense</t>
        </is>
      </c>
      <c r="E209" s="9" t="inlineStr">
        <is>
          <t>Misc</t>
        </is>
      </c>
      <c r="F209" s="9" t="inlineStr">
        <is>
          <t>Checking</t>
        </is>
      </c>
      <c r="G209" s="9" t="inlineStr"/>
      <c r="H209" s="9" t="n"/>
    </row>
    <row r="210">
      <c r="A210" s="23" t="n">
        <v>45967</v>
      </c>
      <c r="B210" s="9" t="inlineStr">
        <is>
          <t>Bathroom Shelves</t>
        </is>
      </c>
      <c r="C210" s="24" t="n">
        <v>15.23</v>
      </c>
      <c r="D210" s="9" t="inlineStr">
        <is>
          <t>Expense</t>
        </is>
      </c>
      <c r="E210" s="9" t="inlineStr">
        <is>
          <t>Misc</t>
        </is>
      </c>
      <c r="F210" s="9" t="inlineStr">
        <is>
          <t>Checking</t>
        </is>
      </c>
      <c r="G210" s="9" t="inlineStr"/>
      <c r="H210" s="9" t="n"/>
    </row>
    <row r="211">
      <c r="A211" s="23" t="n">
        <v>45967</v>
      </c>
      <c r="B211" s="9" t="inlineStr">
        <is>
          <t>Mrs. Meyers Soap</t>
        </is>
      </c>
      <c r="C211" s="24" t="n">
        <v>22.84</v>
      </c>
      <c r="D211" s="9" t="inlineStr">
        <is>
          <t>Expense</t>
        </is>
      </c>
      <c r="E211" s="9" t="inlineStr">
        <is>
          <t>Misc</t>
        </is>
      </c>
      <c r="F211" s="9" t="inlineStr">
        <is>
          <t>Checking</t>
        </is>
      </c>
      <c r="G211" s="9" t="inlineStr"/>
      <c r="H211" s="9" t="inlineStr">
        <is>
          <t>double soap order</t>
        </is>
      </c>
    </row>
    <row r="212">
      <c r="A212" s="23" t="n">
        <v>45967</v>
      </c>
      <c r="B212" s="9" t="inlineStr">
        <is>
          <t>Journal</t>
        </is>
      </c>
      <c r="C212" s="24" t="n">
        <v>14.14</v>
      </c>
      <c r="D212" s="9" t="inlineStr">
        <is>
          <t>Expense</t>
        </is>
      </c>
      <c r="E212" s="9" t="inlineStr">
        <is>
          <t>Misc</t>
        </is>
      </c>
      <c r="F212" s="9" t="inlineStr">
        <is>
          <t>Checking</t>
        </is>
      </c>
      <c r="G212" s="9" t="inlineStr"/>
      <c r="H212" s="9" t="inlineStr">
        <is>
          <t>new jounral</t>
        </is>
      </c>
    </row>
    <row r="213">
      <c r="A213" s="23" t="n">
        <v>45966</v>
      </c>
      <c r="B213" s="9" t="inlineStr">
        <is>
          <t>Magician bar</t>
        </is>
      </c>
      <c r="C213" s="24" t="n">
        <v>11</v>
      </c>
      <c r="D213" s="9" t="inlineStr">
        <is>
          <t>Expense</t>
        </is>
      </c>
      <c r="E213" s="9" t="inlineStr">
        <is>
          <t>Misc</t>
        </is>
      </c>
      <c r="F213" s="9" t="inlineStr">
        <is>
          <t>Checking</t>
        </is>
      </c>
      <c r="G213" s="9" t="inlineStr"/>
      <c r="H213" s="9" t="n"/>
    </row>
    <row r="214">
      <c r="A214" s="23" t="n">
        <v>45966</v>
      </c>
      <c r="B214" s="9" t="inlineStr">
        <is>
          <t>Bar revival</t>
        </is>
      </c>
      <c r="C214" s="24" t="n">
        <v>35</v>
      </c>
      <c r="D214" s="9" t="inlineStr">
        <is>
          <t>Expense</t>
        </is>
      </c>
      <c r="E214" s="9" t="inlineStr">
        <is>
          <t>Misc</t>
        </is>
      </c>
      <c r="F214" s="9" t="inlineStr">
        <is>
          <t>Checking</t>
        </is>
      </c>
      <c r="G214" s="9" t="inlineStr"/>
      <c r="H214" s="9" t="n"/>
    </row>
    <row r="215">
      <c r="A215" s="23" t="n">
        <v>45966</v>
      </c>
      <c r="B215" s="9" t="inlineStr">
        <is>
          <t>Weed</t>
        </is>
      </c>
      <c r="C215" s="24" t="n">
        <v>10</v>
      </c>
      <c r="D215" s="9" t="inlineStr">
        <is>
          <t>Expense</t>
        </is>
      </c>
      <c r="E215" s="9" t="inlineStr">
        <is>
          <t>Misc</t>
        </is>
      </c>
      <c r="F215" s="9" t="inlineStr">
        <is>
          <t>Checking</t>
        </is>
      </c>
      <c r="G215" s="9" t="inlineStr"/>
      <c r="H215" s="9" t="n"/>
    </row>
    <row r="216">
      <c r="A216" s="23" t="n">
        <v>45965</v>
      </c>
      <c r="B216" s="9" t="inlineStr">
        <is>
          <t>Selva Latte</t>
        </is>
      </c>
      <c r="C216" s="24" t="n">
        <v>7.41</v>
      </c>
      <c r="D216" s="9" t="inlineStr">
        <is>
          <t>Expense</t>
        </is>
      </c>
      <c r="E216" s="9" t="inlineStr">
        <is>
          <t>Dining</t>
        </is>
      </c>
      <c r="F216" s="9" t="inlineStr">
        <is>
          <t>Checking</t>
        </is>
      </c>
      <c r="G216" s="9" t="inlineStr"/>
      <c r="H216" s="9" t="n"/>
    </row>
    <row r="217">
      <c r="A217" s="23" t="n">
        <v>45965</v>
      </c>
      <c r="B217" s="9" t="inlineStr">
        <is>
          <t>Mari GoFundMe</t>
        </is>
      </c>
      <c r="C217" s="24" t="n">
        <v>145</v>
      </c>
      <c r="D217" s="9" t="inlineStr">
        <is>
          <t>Expense</t>
        </is>
      </c>
      <c r="E217" s="9" t="inlineStr">
        <is>
          <t>Misc</t>
        </is>
      </c>
      <c r="F217" s="9" t="inlineStr">
        <is>
          <t>Checking</t>
        </is>
      </c>
      <c r="G217" s="9" t="inlineStr"/>
      <c r="H217" s="9" t="n"/>
    </row>
    <row r="218">
      <c r="A218" s="23" t="n">
        <v>45964</v>
      </c>
      <c r="B218" s="9" t="inlineStr">
        <is>
          <t>Ace Hardware (Shelf bracket)</t>
        </is>
      </c>
      <c r="C218" s="24" t="n">
        <v>6.52</v>
      </c>
      <c r="D218" s="9" t="inlineStr">
        <is>
          <t>Expense</t>
        </is>
      </c>
      <c r="E218" s="9" t="inlineStr">
        <is>
          <t>Home</t>
        </is>
      </c>
      <c r="F218" s="9" t="inlineStr">
        <is>
          <t>Checking</t>
        </is>
      </c>
      <c r="G218" s="9" t="inlineStr"/>
      <c r="H218" s="9" t="n"/>
    </row>
    <row r="219">
      <c r="A219" s="23" t="n">
        <v>45964</v>
      </c>
      <c r="B219" s="9" t="inlineStr">
        <is>
          <t>Uber</t>
        </is>
      </c>
      <c r="C219" s="24" t="n">
        <v>11.96</v>
      </c>
      <c r="D219" s="9" t="inlineStr">
        <is>
          <t>Expense</t>
        </is>
      </c>
      <c r="E219" s="9" t="inlineStr">
        <is>
          <t>Transit</t>
        </is>
      </c>
      <c r="F219" s="9" t="inlineStr">
        <is>
          <t>Checking</t>
        </is>
      </c>
      <c r="G219" s="9" t="inlineStr"/>
      <c r="H219" s="9" t="n"/>
    </row>
    <row r="220">
      <c r="A220" s="23" t="n">
        <v>45964</v>
      </c>
      <c r="B220" s="9" t="inlineStr">
        <is>
          <t>Good Judy</t>
        </is>
      </c>
      <c r="C220" s="24" t="n">
        <v>13.5</v>
      </c>
      <c r="D220" s="9" t="inlineStr">
        <is>
          <t>Expense</t>
        </is>
      </c>
      <c r="E220" s="9" t="inlineStr">
        <is>
          <t>Misc</t>
        </is>
      </c>
      <c r="F220" s="9" t="inlineStr">
        <is>
          <t>Checking</t>
        </is>
      </c>
      <c r="G220" s="9" t="inlineStr"/>
      <c r="H220" s="9" t="n"/>
    </row>
    <row r="221">
      <c r="A221" s="23" t="n">
        <v>45964</v>
      </c>
      <c r="B221" s="9" t="inlineStr">
        <is>
          <t>Doordash</t>
        </is>
      </c>
      <c r="C221" s="24" t="n">
        <v>23.13</v>
      </c>
      <c r="D221" s="9" t="inlineStr">
        <is>
          <t>Expense</t>
        </is>
      </c>
      <c r="E221" s="9" t="inlineStr">
        <is>
          <t>Grocery</t>
        </is>
      </c>
      <c r="F221" s="9" t="inlineStr">
        <is>
          <t>Checking</t>
        </is>
      </c>
      <c r="G221" s="9" t="inlineStr"/>
      <c r="H221" s="9" t="n"/>
    </row>
    <row r="222">
      <c r="A222" s="23" t="n">
        <v>45964</v>
      </c>
      <c r="B222" s="9" t="inlineStr">
        <is>
          <t>Uber</t>
        </is>
      </c>
      <c r="C222" s="24" t="n">
        <v>30.98</v>
      </c>
      <c r="D222" s="9" t="inlineStr">
        <is>
          <t>Expense</t>
        </is>
      </c>
      <c r="E222" s="9" t="inlineStr">
        <is>
          <t>Transit</t>
        </is>
      </c>
      <c r="F222" s="9" t="inlineStr">
        <is>
          <t>Checking</t>
        </is>
      </c>
      <c r="G222" s="9" t="inlineStr"/>
      <c r="H222" s="9" t="n"/>
    </row>
    <row r="223">
      <c r="A223" s="23" t="n">
        <v>45964</v>
      </c>
      <c r="B223" s="9" t="inlineStr">
        <is>
          <t>Liqour Store</t>
        </is>
      </c>
      <c r="C223" s="24" t="n">
        <v>41</v>
      </c>
      <c r="D223" s="9" t="inlineStr">
        <is>
          <t>Expense</t>
        </is>
      </c>
      <c r="E223" s="9" t="inlineStr">
        <is>
          <t>Misc</t>
        </is>
      </c>
      <c r="F223" s="9" t="inlineStr">
        <is>
          <t>Checking</t>
        </is>
      </c>
      <c r="G223" s="9" t="inlineStr"/>
      <c r="H223" s="9" t="n"/>
    </row>
    <row r="224">
      <c r="A224" s="23" t="n">
        <v>45964</v>
      </c>
      <c r="B224" s="9" t="inlineStr">
        <is>
          <t>Venmo spend</t>
        </is>
      </c>
      <c r="C224" s="24" t="n">
        <v>10</v>
      </c>
      <c r="D224" s="9" t="inlineStr">
        <is>
          <t>Expense</t>
        </is>
      </c>
      <c r="E224" s="9" t="inlineStr">
        <is>
          <t>Transfer</t>
        </is>
      </c>
      <c r="F224" s="9" t="inlineStr">
        <is>
          <t>Checking</t>
        </is>
      </c>
      <c r="G224" s="9" t="inlineStr"/>
      <c r="H224" s="9" t="n"/>
    </row>
    <row r="225">
      <c r="A225" s="23" t="n">
        <v>45964</v>
      </c>
      <c r="B225" s="9" t="inlineStr">
        <is>
          <t>Amazon</t>
        </is>
      </c>
      <c r="C225" s="24" t="n">
        <v>27.75</v>
      </c>
      <c r="D225" s="9" t="inlineStr">
        <is>
          <t>Expense</t>
        </is>
      </c>
      <c r="E225" s="9" t="inlineStr">
        <is>
          <t>Shopping</t>
        </is>
      </c>
      <c r="F225" s="9" t="inlineStr">
        <is>
          <t>Checking</t>
        </is>
      </c>
      <c r="G225" s="9" t="inlineStr"/>
      <c r="H225" s="9" t="inlineStr">
        <is>
          <t>Detergent</t>
        </is>
      </c>
    </row>
    <row r="226">
      <c r="A226" s="23" t="n">
        <v>45962</v>
      </c>
      <c r="B226" s="9" t="inlineStr">
        <is>
          <t>ATM Widthdrawl</t>
        </is>
      </c>
      <c r="C226" s="24" t="n">
        <v>102</v>
      </c>
      <c r="D226" s="9" t="inlineStr">
        <is>
          <t>Expense</t>
        </is>
      </c>
      <c r="E226" s="9" t="inlineStr">
        <is>
          <t>Transfer</t>
        </is>
      </c>
      <c r="F226" s="9" t="inlineStr">
        <is>
          <t>Checking</t>
        </is>
      </c>
      <c r="G226" s="9" t="inlineStr">
        <is>
          <t>Roberto</t>
        </is>
      </c>
      <c r="H226" s="9" t="inlineStr">
        <is>
          <t>this was for halloween ****</t>
        </is>
      </c>
    </row>
    <row r="227">
      <c r="A227" s="23" t="n">
        <v>45957</v>
      </c>
      <c r="B227" s="9" t="inlineStr">
        <is>
          <t>Grocery (DoorDash)</t>
        </is>
      </c>
      <c r="C227" s="24" t="n">
        <v>129.72</v>
      </c>
      <c r="D227" s="9" t="inlineStr">
        <is>
          <t>Expense</t>
        </is>
      </c>
      <c r="E227" s="9" t="inlineStr">
        <is>
          <t>Grocery</t>
        </is>
      </c>
      <c r="F227" s="9" t="inlineStr">
        <is>
          <t>Checking</t>
        </is>
      </c>
      <c r="G227" s="9" t="inlineStr">
        <is>
          <t>Roberto</t>
        </is>
      </c>
      <c r="H227" s="9" t="inlineStr">
        <is>
          <t>3x whole milk, 5x thin sliced cutlets, 4x wheat bread, 7x canned tuna, 3x pumpkin seeds, 2x garvanzo beans, 1x oatmeal, 2x black beans, 2x greek yogurt, 4x mozarella cheese, 5x eggs</t>
        </is>
      </c>
    </row>
    <row r="228">
      <c r="A228" s="23" t="n">
        <v>45955</v>
      </c>
      <c r="B228" s="9" t="inlineStr">
        <is>
          <t>City fresh</t>
        </is>
      </c>
      <c r="C228" s="24" t="n">
        <v>33.97</v>
      </c>
      <c r="D228" s="9" t="inlineStr">
        <is>
          <t>Expense</t>
        </is>
      </c>
      <c r="E228" s="9" t="inlineStr">
        <is>
          <t>Grocery</t>
        </is>
      </c>
      <c r="F228" s="9" t="inlineStr">
        <is>
          <t>Checking</t>
        </is>
      </c>
      <c r="G228" s="9" t="inlineStr">
        <is>
          <t>Roberto</t>
        </is>
      </c>
      <c r="H228" s="9" t="n"/>
    </row>
    <row r="229">
      <c r="A229" s="23" t="n">
        <v>45955</v>
      </c>
      <c r="B229" s="9" t="inlineStr">
        <is>
          <t>Honey's Bar</t>
        </is>
      </c>
      <c r="C229" s="24" t="n">
        <v>32.1</v>
      </c>
      <c r="D229" s="9" t="inlineStr">
        <is>
          <t>Expense</t>
        </is>
      </c>
      <c r="E229" s="9" t="inlineStr">
        <is>
          <t>Misc</t>
        </is>
      </c>
      <c r="F229" s="9" t="inlineStr">
        <is>
          <t>Checking</t>
        </is>
      </c>
      <c r="G229" s="9" t="inlineStr">
        <is>
          <t>Roberto</t>
        </is>
      </c>
      <c r="H229" s="9" t="n"/>
    </row>
    <row r="230">
      <c r="A230" s="23" t="n">
        <v>45955</v>
      </c>
      <c r="B230" s="9" t="inlineStr">
        <is>
          <t>Stainless Steel Shelves</t>
        </is>
      </c>
      <c r="C230" s="24" t="n">
        <v>58</v>
      </c>
      <c r="D230" s="9" t="inlineStr">
        <is>
          <t>Expense</t>
        </is>
      </c>
      <c r="E230" s="9" t="inlineStr">
        <is>
          <t>Misc</t>
        </is>
      </c>
      <c r="F230" s="9" t="inlineStr">
        <is>
          <t>Checking</t>
        </is>
      </c>
      <c r="G230" s="9" t="inlineStr">
        <is>
          <t>Roberto</t>
        </is>
      </c>
      <c r="H230" s="9" t="n"/>
    </row>
    <row r="231">
      <c r="A231" s="23" t="n">
        <v>45953</v>
      </c>
      <c r="B231" s="9" t="inlineStr">
        <is>
          <t>Signal Tickets for halloween</t>
        </is>
      </c>
      <c r="C231" s="24" t="n">
        <v>60</v>
      </c>
      <c r="D231" s="9" t="inlineStr">
        <is>
          <t>Expense</t>
        </is>
      </c>
      <c r="E231" s="9" t="inlineStr">
        <is>
          <t>Misc</t>
        </is>
      </c>
      <c r="F231" s="9" t="inlineStr">
        <is>
          <t>Checking</t>
        </is>
      </c>
      <c r="G231" s="9" t="inlineStr">
        <is>
          <t>Roberto</t>
        </is>
      </c>
      <c r="H231" s="9" t="n"/>
    </row>
    <row r="232">
      <c r="A232" s="23" t="n">
        <v>45952</v>
      </c>
      <c r="B232" s="9" t="inlineStr">
        <is>
          <t>Bodega</t>
        </is>
      </c>
      <c r="C232" s="24" t="n">
        <v>4.16</v>
      </c>
      <c r="D232" s="9" t="inlineStr">
        <is>
          <t>Expense</t>
        </is>
      </c>
      <c r="E232" s="9" t="inlineStr">
        <is>
          <t>Dining</t>
        </is>
      </c>
      <c r="F232" s="9" t="inlineStr">
        <is>
          <t>Checking</t>
        </is>
      </c>
      <c r="G232" s="9" t="inlineStr">
        <is>
          <t>Roberto</t>
        </is>
      </c>
      <c r="H232" s="9" t="n"/>
    </row>
    <row r="233">
      <c r="A233" s="23" t="n">
        <v>45952</v>
      </c>
      <c r="B233" s="9" t="inlineStr">
        <is>
          <t>Bodega</t>
        </is>
      </c>
      <c r="C233" s="24" t="n">
        <v>7.28</v>
      </c>
      <c r="D233" s="9" t="inlineStr">
        <is>
          <t>Expense</t>
        </is>
      </c>
      <c r="E233" s="9" t="inlineStr">
        <is>
          <t>Dining</t>
        </is>
      </c>
      <c r="F233" s="9" t="inlineStr">
        <is>
          <t>Checking</t>
        </is>
      </c>
      <c r="G233" s="9" t="inlineStr">
        <is>
          <t>Roberto</t>
        </is>
      </c>
      <c r="H233" s="9" t="n"/>
    </row>
    <row r="234">
      <c r="A234" s="23" t="n">
        <v>45952</v>
      </c>
      <c r="B234" s="9" t="inlineStr">
        <is>
          <t>City Fresh</t>
        </is>
      </c>
      <c r="C234" s="24" t="n">
        <v>9.73</v>
      </c>
      <c r="D234" s="9" t="inlineStr">
        <is>
          <t>Expense</t>
        </is>
      </c>
      <c r="E234" s="9" t="inlineStr">
        <is>
          <t>Grocery</t>
        </is>
      </c>
      <c r="F234" s="9" t="inlineStr">
        <is>
          <t>Checking</t>
        </is>
      </c>
      <c r="G234" s="9" t="inlineStr">
        <is>
          <t>Roberto</t>
        </is>
      </c>
      <c r="H234" s="9" t="n"/>
    </row>
    <row r="235">
      <c r="A235" s="23" t="n">
        <v>45949</v>
      </c>
      <c r="B235" s="9" t="inlineStr">
        <is>
          <t>Home Depot</t>
        </is>
      </c>
      <c r="C235" s="24" t="n">
        <v>19.03</v>
      </c>
      <c r="D235" s="9" t="inlineStr">
        <is>
          <t>Expense</t>
        </is>
      </c>
      <c r="E235" s="9" t="inlineStr">
        <is>
          <t>Home</t>
        </is>
      </c>
      <c r="F235" s="9" t="inlineStr">
        <is>
          <t>Checking</t>
        </is>
      </c>
      <c r="G235" s="9" t="inlineStr">
        <is>
          <t>Roberto</t>
        </is>
      </c>
      <c r="H235" s="9" t="n"/>
    </row>
    <row r="236">
      <c r="A236" s="23" t="n">
        <v>45949</v>
      </c>
      <c r="B236" s="9" t="inlineStr">
        <is>
          <t>Adorama</t>
        </is>
      </c>
      <c r="C236" s="24" t="n">
        <v>38.09</v>
      </c>
      <c r="D236" s="9" t="inlineStr">
        <is>
          <t>Expense</t>
        </is>
      </c>
      <c r="E236" s="9" t="inlineStr">
        <is>
          <t>Misc</t>
        </is>
      </c>
      <c r="F236" s="9" t="inlineStr">
        <is>
          <t>Checking</t>
        </is>
      </c>
      <c r="G236" s="9" t="inlineStr">
        <is>
          <t>Roberto</t>
        </is>
      </c>
      <c r="H236" s="9" t="n"/>
    </row>
    <row r="237">
      <c r="A237" s="23" t="n">
        <v>45949</v>
      </c>
      <c r="B237" s="9" t="inlineStr">
        <is>
          <t>Transit to NJ</t>
        </is>
      </c>
      <c r="C237" s="24" t="n">
        <v>18</v>
      </c>
      <c r="D237" s="9" t="inlineStr">
        <is>
          <t>Expense</t>
        </is>
      </c>
      <c r="E237" s="9" t="inlineStr">
        <is>
          <t>Transit</t>
        </is>
      </c>
      <c r="F237" s="9" t="inlineStr">
        <is>
          <t>Checking</t>
        </is>
      </c>
      <c r="G237" s="9" t="inlineStr">
        <is>
          <t>Roberto</t>
        </is>
      </c>
      <c r="H237" s="9" t="n"/>
    </row>
    <row r="238">
      <c r="A238" s="23" t="n">
        <v>45949</v>
      </c>
      <c r="B238" s="9" t="inlineStr">
        <is>
          <t>DoorDash for Mari</t>
        </is>
      </c>
      <c r="C238" s="24" t="n">
        <v>100</v>
      </c>
      <c r="D238" s="9" t="inlineStr">
        <is>
          <t>Expense</t>
        </is>
      </c>
      <c r="E238" s="9" t="inlineStr">
        <is>
          <t>Grocery</t>
        </is>
      </c>
      <c r="F238" s="9" t="inlineStr">
        <is>
          <t>Checking</t>
        </is>
      </c>
      <c r="G238" s="9" t="inlineStr">
        <is>
          <t>Roberto</t>
        </is>
      </c>
      <c r="H238" s="9" t="n"/>
    </row>
    <row r="239">
      <c r="A239" s="23" t="n">
        <v>45947</v>
      </c>
      <c r="B239" s="9" t="inlineStr">
        <is>
          <t>Amazon</t>
        </is>
      </c>
      <c r="C239" s="24" t="n">
        <v>33.69</v>
      </c>
      <c r="D239" s="9" t="inlineStr">
        <is>
          <t>Expense</t>
        </is>
      </c>
      <c r="E239" s="9" t="inlineStr">
        <is>
          <t>Shopping</t>
        </is>
      </c>
      <c r="F239" s="9" t="inlineStr">
        <is>
          <t>Checking</t>
        </is>
      </c>
      <c r="G239" s="9" t="inlineStr">
        <is>
          <t>Roberto</t>
        </is>
      </c>
      <c r="H239" s="9" t="inlineStr">
        <is>
          <t>Gym Bag, Sweat Pants</t>
        </is>
      </c>
    </row>
    <row r="240">
      <c r="A240" s="23" t="n">
        <v>45947</v>
      </c>
      <c r="B240" s="9" t="inlineStr">
        <is>
          <t>Amazon</t>
        </is>
      </c>
      <c r="C240" s="24" t="n">
        <v>184.98</v>
      </c>
      <c r="D240" s="9" t="inlineStr">
        <is>
          <t>Expense</t>
        </is>
      </c>
      <c r="E240" s="9" t="inlineStr">
        <is>
          <t>Shopping</t>
        </is>
      </c>
      <c r="F240" s="9" t="inlineStr">
        <is>
          <t>Bilt</t>
        </is>
      </c>
      <c r="G240" s="9" t="inlineStr">
        <is>
          <t>Roberto</t>
        </is>
      </c>
      <c r="H240" s="9" t="inlineStr">
        <is>
          <t>Squeegee, Cat Water, Cat liter, USB Hub, Listerine, Shower Wall Mount, Quarter Inch adapter</t>
        </is>
      </c>
    </row>
    <row r="241">
      <c r="A241" s="23" t="n">
        <v>45947</v>
      </c>
      <c r="B241" s="9" t="inlineStr">
        <is>
          <t>Uniqlo</t>
        </is>
      </c>
      <c r="C241" s="24" t="n">
        <v>62</v>
      </c>
      <c r="D241" s="9" t="inlineStr">
        <is>
          <t>Expense</t>
        </is>
      </c>
      <c r="E241" s="9" t="inlineStr">
        <is>
          <t>Misc</t>
        </is>
      </c>
      <c r="F241" s="9" t="inlineStr">
        <is>
          <t>Checking</t>
        </is>
      </c>
      <c r="G241" s="9" t="inlineStr">
        <is>
          <t>Roberto</t>
        </is>
      </c>
      <c r="H241" s="9" t="n"/>
    </row>
    <row r="242">
      <c r="A242" s="23" t="n">
        <v>45947</v>
      </c>
      <c r="B242" s="9" t="inlineStr">
        <is>
          <t>Palmetto</t>
        </is>
      </c>
      <c r="C242" s="24" t="n">
        <v>67.02</v>
      </c>
      <c r="D242" s="9" t="inlineStr">
        <is>
          <t>Expense</t>
        </is>
      </c>
      <c r="E242" s="9" t="inlineStr">
        <is>
          <t>Misc</t>
        </is>
      </c>
      <c r="F242" s="9" t="inlineStr">
        <is>
          <t>Bilt</t>
        </is>
      </c>
      <c r="G242" s="9" t="inlineStr">
        <is>
          <t>Roberto</t>
        </is>
      </c>
      <c r="H242" s="9" t="n"/>
    </row>
    <row r="243">
      <c r="A243" s="23" t="n">
        <v>45947</v>
      </c>
      <c r="B243" s="9" t="inlineStr">
        <is>
          <t>Caraotas</t>
        </is>
      </c>
      <c r="C243" s="24" t="n">
        <v>12</v>
      </c>
      <c r="D243" s="9" t="inlineStr">
        <is>
          <t>Expense</t>
        </is>
      </c>
      <c r="E243" s="9" t="inlineStr">
        <is>
          <t>Dining</t>
        </is>
      </c>
      <c r="F243" s="9" t="inlineStr">
        <is>
          <t>Checking</t>
        </is>
      </c>
      <c r="G243" s="9" t="inlineStr">
        <is>
          <t>Roberto</t>
        </is>
      </c>
      <c r="H243" s="9" t="n"/>
    </row>
    <row r="244">
      <c r="A244" s="23" t="n">
        <v>45943</v>
      </c>
      <c r="B244" s="9" t="inlineStr">
        <is>
          <t>Grocery (Doordash)</t>
        </is>
      </c>
      <c r="C244" s="24" t="n">
        <v>140</v>
      </c>
      <c r="D244" s="9" t="inlineStr">
        <is>
          <t>Expense</t>
        </is>
      </c>
      <c r="E244" s="9" t="inlineStr">
        <is>
          <t>Grocery</t>
        </is>
      </c>
      <c r="F244" s="9" t="inlineStr">
        <is>
          <t>Checking</t>
        </is>
      </c>
      <c r="G244" s="9" t="inlineStr">
        <is>
          <t>Roberto</t>
        </is>
      </c>
      <c r="H244" s="9" t="inlineStr">
        <is>
          <t>10x Tunas, 1x Almond, 5x 12-ct eggs, 3x Multigrain, 2x Whole milk, 2x Garbanzo Beans, 1x Brown Rice, 2x Black Beans, 4x Mozarella, 6x Chicken cutlets, 2x Cottage Cheese, 1x Chipotle Dressing</t>
        </is>
      </c>
    </row>
    <row r="245">
      <c r="A245" s="23" t="n">
        <v>45940</v>
      </c>
      <c r="B245" s="9" t="inlineStr">
        <is>
          <t>Bodega</t>
        </is>
      </c>
      <c r="C245" s="24" t="n">
        <v>8</v>
      </c>
      <c r="D245" s="9" t="inlineStr">
        <is>
          <t>Expense</t>
        </is>
      </c>
      <c r="E245" s="9" t="inlineStr">
        <is>
          <t>Dining</t>
        </is>
      </c>
      <c r="F245" s="9" t="inlineStr">
        <is>
          <t>Checking</t>
        </is>
      </c>
      <c r="G245" s="9" t="inlineStr">
        <is>
          <t>Roberto</t>
        </is>
      </c>
      <c r="H245" s="9" t="n"/>
    </row>
    <row r="246">
      <c r="A246" s="23" t="n">
        <v>45940</v>
      </c>
      <c r="B246" s="9" t="inlineStr">
        <is>
          <t>Bodega</t>
        </is>
      </c>
      <c r="C246" s="24" t="n">
        <v>4.16</v>
      </c>
      <c r="D246" s="9" t="inlineStr">
        <is>
          <t>Expense</t>
        </is>
      </c>
      <c r="E246" s="9" t="inlineStr">
        <is>
          <t>Dining</t>
        </is>
      </c>
      <c r="F246" s="9" t="inlineStr">
        <is>
          <t>Checking</t>
        </is>
      </c>
      <c r="G246" s="9" t="inlineStr">
        <is>
          <t>Roberto</t>
        </is>
      </c>
      <c r="H246" s="9" t="n"/>
    </row>
    <row r="247">
      <c r="A247" s="23" t="n">
        <v>45940</v>
      </c>
      <c r="B247" s="9" t="inlineStr">
        <is>
          <t>Drink (captain Dan)</t>
        </is>
      </c>
      <c r="C247" s="24" t="n">
        <v>15</v>
      </c>
      <c r="D247" s="9" t="inlineStr">
        <is>
          <t>Expense</t>
        </is>
      </c>
      <c r="E247" s="9" t="inlineStr">
        <is>
          <t>Dining</t>
        </is>
      </c>
      <c r="F247" s="9" t="inlineStr">
        <is>
          <t>Checking</t>
        </is>
      </c>
      <c r="G247" s="9" t="inlineStr">
        <is>
          <t>Roberto</t>
        </is>
      </c>
      <c r="H247" s="9" t="n"/>
    </row>
    <row r="248">
      <c r="A248" s="23" t="n">
        <v>45940</v>
      </c>
      <c r="B248" s="9" t="inlineStr">
        <is>
          <t>CVS</t>
        </is>
      </c>
      <c r="C248" s="24" t="n">
        <v>10.14</v>
      </c>
      <c r="D248" s="9" t="inlineStr">
        <is>
          <t>Expense</t>
        </is>
      </c>
      <c r="E248" s="9" t="inlineStr">
        <is>
          <t>Health</t>
        </is>
      </c>
      <c r="F248" s="9" t="inlineStr">
        <is>
          <t>Checking</t>
        </is>
      </c>
      <c r="G248" s="9" t="inlineStr">
        <is>
          <t>Roberto</t>
        </is>
      </c>
      <c r="H248" s="9" t="n"/>
    </row>
    <row r="249">
      <c r="A249" s="23" t="n">
        <v>45940</v>
      </c>
      <c r="B249" s="9" t="inlineStr">
        <is>
          <t>Bodega</t>
        </is>
      </c>
      <c r="C249" s="24" t="n">
        <v>18.78</v>
      </c>
      <c r="D249" s="9" t="inlineStr">
        <is>
          <t>Expense</t>
        </is>
      </c>
      <c r="E249" s="9" t="inlineStr">
        <is>
          <t>Dining</t>
        </is>
      </c>
      <c r="F249" s="9" t="inlineStr">
        <is>
          <t>Checking</t>
        </is>
      </c>
      <c r="G249" s="9" t="inlineStr">
        <is>
          <t>Roberto</t>
        </is>
      </c>
      <c r="H249" s="9" t="n"/>
    </row>
    <row r="250">
      <c r="A250" s="23" t="n">
        <v>45940</v>
      </c>
      <c r="B250" s="9" t="inlineStr">
        <is>
          <t>Brunch</t>
        </is>
      </c>
      <c r="C250" s="24" t="n">
        <v>25</v>
      </c>
      <c r="D250" s="9" t="inlineStr">
        <is>
          <t>Expense</t>
        </is>
      </c>
      <c r="E250" s="9" t="inlineStr">
        <is>
          <t>Misc</t>
        </is>
      </c>
      <c r="F250" s="9" t="inlineStr">
        <is>
          <t>Checking</t>
        </is>
      </c>
      <c r="G250" s="9" t="inlineStr">
        <is>
          <t>Roberto</t>
        </is>
      </c>
      <c r="H250" s="9" t="n"/>
    </row>
    <row r="251">
      <c r="A251" s="23" t="n">
        <v>45940</v>
      </c>
      <c r="B251" s="9" t="inlineStr">
        <is>
          <t>amazon usb c</t>
        </is>
      </c>
      <c r="C251" s="24" t="n">
        <v>10</v>
      </c>
      <c r="D251" s="9" t="inlineStr">
        <is>
          <t>Expense</t>
        </is>
      </c>
      <c r="E251" s="9" t="inlineStr">
        <is>
          <t>Shopping</t>
        </is>
      </c>
      <c r="F251" s="9" t="inlineStr">
        <is>
          <t>Checking</t>
        </is>
      </c>
      <c r="G251" s="9" t="inlineStr">
        <is>
          <t>Roberto</t>
        </is>
      </c>
      <c r="H251" s="9" t="n"/>
    </row>
    <row r="252">
      <c r="A252" s="23" t="n">
        <v>45940</v>
      </c>
      <c r="B252" s="9" t="inlineStr">
        <is>
          <t>City Fresh</t>
        </is>
      </c>
      <c r="C252" s="24" t="n">
        <v>17.3</v>
      </c>
      <c r="D252" s="9" t="inlineStr">
        <is>
          <t>Expense</t>
        </is>
      </c>
      <c r="E252" s="9" t="inlineStr">
        <is>
          <t>Grocery</t>
        </is>
      </c>
      <c r="F252" s="9" t="inlineStr">
        <is>
          <t>Checking</t>
        </is>
      </c>
      <c r="G252" s="9" t="inlineStr">
        <is>
          <t>Roberto</t>
        </is>
      </c>
      <c r="H252" s="9" t="inlineStr">
        <is>
          <t>Bodega sushi for dinner 10/14 (Sunday)</t>
        </is>
      </c>
    </row>
    <row r="253">
      <c r="A253" s="23" t="n">
        <v>45939</v>
      </c>
      <c r="B253" s="9" t="inlineStr">
        <is>
          <t>Amazon Ice Roller</t>
        </is>
      </c>
      <c r="C253" s="24" t="n">
        <v>8</v>
      </c>
      <c r="D253" s="9" t="inlineStr">
        <is>
          <t>Expense</t>
        </is>
      </c>
      <c r="E253" s="9" t="inlineStr">
        <is>
          <t>Shopping</t>
        </is>
      </c>
      <c r="F253" s="9" t="inlineStr">
        <is>
          <t>Checking</t>
        </is>
      </c>
      <c r="G253" s="9" t="inlineStr">
        <is>
          <t>Roberto</t>
        </is>
      </c>
      <c r="H253" s="9" t="n"/>
    </row>
    <row r="254">
      <c r="A254" s="23" t="n">
        <v>45939</v>
      </c>
      <c r="B254" s="9" t="inlineStr">
        <is>
          <t>Bread (City Fresh)</t>
        </is>
      </c>
      <c r="C254" s="24" t="n">
        <v>21.19</v>
      </c>
      <c r="D254" s="9" t="inlineStr">
        <is>
          <t>Expense</t>
        </is>
      </c>
      <c r="E254" s="9" t="inlineStr">
        <is>
          <t>Grocery</t>
        </is>
      </c>
      <c r="F254" s="9" t="inlineStr">
        <is>
          <t>Checking</t>
        </is>
      </c>
      <c r="G254" s="9" t="inlineStr">
        <is>
          <t>Roberto</t>
        </is>
      </c>
      <c r="H254" s="9" t="inlineStr">
        <is>
          <t>2 loafs of bread</t>
        </is>
      </c>
    </row>
    <row r="255">
      <c r="A255" s="23" t="n">
        <v>45937</v>
      </c>
      <c r="B255" s="9" t="inlineStr">
        <is>
          <t>Iced Latte</t>
        </is>
      </c>
      <c r="C255" s="24" t="n">
        <v>7</v>
      </c>
      <c r="D255" s="9" t="inlineStr">
        <is>
          <t>Expense</t>
        </is>
      </c>
      <c r="E255" s="9" t="inlineStr">
        <is>
          <t>Dining</t>
        </is>
      </c>
      <c r="F255" s="9" t="inlineStr">
        <is>
          <t>Checking</t>
        </is>
      </c>
      <c r="G255" s="9" t="inlineStr">
        <is>
          <t>Roberto</t>
        </is>
      </c>
      <c r="H255" s="9" t="n"/>
    </row>
    <row r="256">
      <c r="A256" s="23" t="n">
        <v>45937</v>
      </c>
      <c r="B256" s="9" t="inlineStr">
        <is>
          <t>Calendar</t>
        </is>
      </c>
      <c r="C256" s="24" t="n">
        <v>6</v>
      </c>
      <c r="D256" s="9" t="inlineStr">
        <is>
          <t>Expense</t>
        </is>
      </c>
      <c r="E256" s="9" t="inlineStr">
        <is>
          <t>Misc</t>
        </is>
      </c>
      <c r="F256" s="9" t="inlineStr">
        <is>
          <t>Checking</t>
        </is>
      </c>
      <c r="G256" s="9" t="inlineStr">
        <is>
          <t>Roberto</t>
        </is>
      </c>
      <c r="H256" s="9" t="n"/>
    </row>
    <row r="257">
      <c r="A257" s="23" t="n">
        <v>45936</v>
      </c>
      <c r="B257" s="9" t="inlineStr">
        <is>
          <t>Bodega</t>
        </is>
      </c>
      <c r="C257" s="24" t="n">
        <v>8.32</v>
      </c>
      <c r="D257" s="9" t="inlineStr">
        <is>
          <t>Expense</t>
        </is>
      </c>
      <c r="E257" s="9" t="inlineStr">
        <is>
          <t>Dining</t>
        </is>
      </c>
      <c r="F257" s="9" t="inlineStr">
        <is>
          <t>Checking</t>
        </is>
      </c>
      <c r="G257" s="9" t="inlineStr">
        <is>
          <t>Roberto</t>
        </is>
      </c>
      <c r="H257" s="9" t="n"/>
    </row>
    <row r="258">
      <c r="A258" s="23" t="n">
        <v>45936</v>
      </c>
      <c r="B258" s="9" t="inlineStr">
        <is>
          <t>Bodega</t>
        </is>
      </c>
      <c r="C258" s="24" t="n">
        <v>4.36</v>
      </c>
      <c r="D258" s="9" t="inlineStr">
        <is>
          <t>Expense</t>
        </is>
      </c>
      <c r="E258" s="9" t="inlineStr">
        <is>
          <t>Dining</t>
        </is>
      </c>
      <c r="F258" s="9" t="inlineStr">
        <is>
          <t>Checking</t>
        </is>
      </c>
      <c r="G258" s="9" t="inlineStr">
        <is>
          <t>Roberto</t>
        </is>
      </c>
      <c r="H258" s="9" t="n"/>
    </row>
    <row r="259">
      <c r="A259" s="23" t="n">
        <v>45933</v>
      </c>
      <c r="B259" s="9" t="inlineStr">
        <is>
          <t>Toothbrush</t>
        </is>
      </c>
      <c r="C259" s="24" t="n">
        <v>51.16</v>
      </c>
      <c r="D259" s="9" t="inlineStr">
        <is>
          <t>Expense</t>
        </is>
      </c>
      <c r="E259" s="9" t="inlineStr">
        <is>
          <t>Shopping</t>
        </is>
      </c>
      <c r="F259" s="9" t="inlineStr">
        <is>
          <t>Checking</t>
        </is>
      </c>
      <c r="G259" s="9" t="inlineStr">
        <is>
          <t>Roberto</t>
        </is>
      </c>
      <c r="H259" s="9" t="n"/>
    </row>
    <row r="260">
      <c r="A260" s="23" t="n">
        <v>45933</v>
      </c>
      <c r="B260" s="9" t="inlineStr">
        <is>
          <t>Diane's</t>
        </is>
      </c>
      <c r="C260" s="24" t="n">
        <v>11.03</v>
      </c>
      <c r="D260" s="9" t="inlineStr">
        <is>
          <t>Expense</t>
        </is>
      </c>
      <c r="E260" s="9" t="inlineStr">
        <is>
          <t>Dining</t>
        </is>
      </c>
      <c r="F260" s="9" t="inlineStr">
        <is>
          <t>Checking</t>
        </is>
      </c>
      <c r="G260" s="9" t="inlineStr">
        <is>
          <t>Roberto</t>
        </is>
      </c>
      <c r="H260" s="9" t="n"/>
    </row>
    <row r="261">
      <c r="A261" s="23" t="n">
        <v>45933</v>
      </c>
      <c r="B261" s="9" t="inlineStr">
        <is>
          <t>Diane's</t>
        </is>
      </c>
      <c r="C261" s="24" t="n">
        <v>19.93</v>
      </c>
      <c r="D261" s="9" t="inlineStr">
        <is>
          <t>Expense</t>
        </is>
      </c>
      <c r="E261" s="9" t="inlineStr">
        <is>
          <t>Dining</t>
        </is>
      </c>
      <c r="F261" s="9" t="inlineStr">
        <is>
          <t>Checking</t>
        </is>
      </c>
      <c r="G261" s="9" t="inlineStr">
        <is>
          <t>Roberto</t>
        </is>
      </c>
      <c r="H261" s="9" t="n"/>
    </row>
    <row r="262">
      <c r="A262" s="23" t="n">
        <v>45933</v>
      </c>
      <c r="B262" s="9" t="inlineStr">
        <is>
          <t>Shake Shack</t>
        </is>
      </c>
      <c r="C262" s="24" t="n">
        <v>38.12</v>
      </c>
      <c r="D262" s="9" t="inlineStr">
        <is>
          <t>Expense</t>
        </is>
      </c>
      <c r="E262" s="9" t="inlineStr">
        <is>
          <t>Dining</t>
        </is>
      </c>
      <c r="F262" s="9" t="inlineStr">
        <is>
          <t>Checking</t>
        </is>
      </c>
      <c r="G262" s="9" t="inlineStr">
        <is>
          <t>Roberto</t>
        </is>
      </c>
      <c r="H262" s="9" t="n"/>
    </row>
    <row r="263">
      <c r="A263" s="23" t="n">
        <v>45933</v>
      </c>
      <c r="B263" s="9" t="inlineStr">
        <is>
          <t>Bodega</t>
        </is>
      </c>
      <c r="C263" s="24" t="n">
        <v>6.23</v>
      </c>
      <c r="D263" s="9" t="inlineStr">
        <is>
          <t>Expense</t>
        </is>
      </c>
      <c r="E263" s="9" t="inlineStr">
        <is>
          <t>Dining</t>
        </is>
      </c>
      <c r="F263" s="9" t="inlineStr">
        <is>
          <t>Checking</t>
        </is>
      </c>
      <c r="G263" s="9" t="inlineStr">
        <is>
          <t>Roberto</t>
        </is>
      </c>
      <c r="H263" s="9" t="n"/>
    </row>
    <row r="264">
      <c r="A264" s="23" t="n">
        <v>45932</v>
      </c>
      <c r="B264" s="9" t="inlineStr">
        <is>
          <t>Iced latte</t>
        </is>
      </c>
      <c r="C264" s="24" t="n">
        <v>4.92</v>
      </c>
      <c r="D264" s="9" t="inlineStr">
        <is>
          <t>Expense</t>
        </is>
      </c>
      <c r="E264" s="9" t="inlineStr">
        <is>
          <t>Dining</t>
        </is>
      </c>
      <c r="F264" s="9" t="inlineStr">
        <is>
          <t>Checking</t>
        </is>
      </c>
      <c r="G264" s="9" t="inlineStr">
        <is>
          <t>Roberto</t>
        </is>
      </c>
      <c r="H264" s="9" t="n"/>
    </row>
    <row r="265">
      <c r="A265" s="23" t="n">
        <v>45932</v>
      </c>
      <c r="B265" s="9" t="inlineStr">
        <is>
          <t>Shirt (other ppls clothes)</t>
        </is>
      </c>
      <c r="C265" s="24" t="n">
        <v>24.98</v>
      </c>
      <c r="D265" s="9" t="inlineStr">
        <is>
          <t>Expense</t>
        </is>
      </c>
      <c r="E265" s="9" t="inlineStr">
        <is>
          <t>Shopping</t>
        </is>
      </c>
      <c r="F265" s="9" t="inlineStr">
        <is>
          <t>Checking</t>
        </is>
      </c>
      <c r="G265" s="9" t="inlineStr">
        <is>
          <t>Roberto</t>
        </is>
      </c>
      <c r="H265" s="9" t="n"/>
    </row>
    <row r="266">
      <c r="A266" s="23" t="n">
        <v>45929</v>
      </c>
      <c r="B266" s="9" t="inlineStr">
        <is>
          <t>Iced Latte</t>
        </is>
      </c>
      <c r="C266" s="24" t="n">
        <v>4.01</v>
      </c>
      <c r="D266" s="9" t="inlineStr">
        <is>
          <t>Expense</t>
        </is>
      </c>
      <c r="E266" s="9" t="inlineStr">
        <is>
          <t>Dining</t>
        </is>
      </c>
      <c r="F266" s="9" t="inlineStr">
        <is>
          <t>Checking</t>
        </is>
      </c>
      <c r="G266" s="9" t="inlineStr">
        <is>
          <t>Roberto</t>
        </is>
      </c>
      <c r="H266" s="9" t="n"/>
    </row>
    <row r="267">
      <c r="A267" s="23" t="n">
        <v>45928</v>
      </c>
      <c r="B267" s="9" t="inlineStr">
        <is>
          <t>Amazon Order</t>
        </is>
      </c>
      <c r="C267" s="24" t="n">
        <v>90.2</v>
      </c>
      <c r="D267" s="9" t="inlineStr">
        <is>
          <t>Expense</t>
        </is>
      </c>
      <c r="E267" s="9" t="inlineStr">
        <is>
          <t>Shopping</t>
        </is>
      </c>
      <c r="F267" s="9" t="inlineStr">
        <is>
          <t>Checking</t>
        </is>
      </c>
      <c r="G267" s="9" t="inlineStr">
        <is>
          <t>Roberto</t>
        </is>
      </c>
      <c r="H267" s="9" t="inlineStr">
        <is>
          <t>2x AHA BHA Ordinary, 1x Oil Cleanser, 1x Body Oil Cleanser, 1x Cerave Moisturizer, 1x Salicylic Cleanser</t>
        </is>
      </c>
    </row>
    <row r="268">
      <c r="A268" s="23" t="n">
        <v>45928</v>
      </c>
      <c r="B268" s="9" t="inlineStr">
        <is>
          <t>ATM</t>
        </is>
      </c>
      <c r="C268" s="24" t="n">
        <v>31.16</v>
      </c>
      <c r="D268" s="9" t="inlineStr">
        <is>
          <t>Expense</t>
        </is>
      </c>
      <c r="E268" s="9" t="inlineStr">
        <is>
          <t>Transfer</t>
        </is>
      </c>
      <c r="F268" s="9" t="inlineStr">
        <is>
          <t>Checking</t>
        </is>
      </c>
      <c r="G268" s="9" t="inlineStr">
        <is>
          <t>Roberto</t>
        </is>
      </c>
      <c r="H268" s="9" t="n"/>
    </row>
    <row r="269">
      <c r="A269" s="23" t="n">
        <v>45928</v>
      </c>
      <c r="B269" s="9" t="inlineStr">
        <is>
          <t>Iced Latte</t>
        </is>
      </c>
      <c r="C269" s="24" t="n">
        <v>5.21</v>
      </c>
      <c r="D269" s="9" t="inlineStr">
        <is>
          <t>Expense</t>
        </is>
      </c>
      <c r="E269" s="9" t="inlineStr">
        <is>
          <t>Dining</t>
        </is>
      </c>
      <c r="F269" s="9" t="inlineStr">
        <is>
          <t>Checking</t>
        </is>
      </c>
      <c r="G269" s="9" t="inlineStr">
        <is>
          <t>Roberto</t>
        </is>
      </c>
      <c r="H269" s="9" t="n"/>
    </row>
    <row r="270">
      <c r="A270" s="23" t="n">
        <v>45928</v>
      </c>
      <c r="B270" s="9" t="inlineStr">
        <is>
          <t>Grocery (Doordash)</t>
        </is>
      </c>
      <c r="C270" s="24" t="n">
        <v>59.46</v>
      </c>
      <c r="D270" s="9" t="inlineStr">
        <is>
          <t>Expense</t>
        </is>
      </c>
      <c r="E270" s="9" t="inlineStr">
        <is>
          <t>Grocery</t>
        </is>
      </c>
      <c r="F270" s="9" t="inlineStr">
        <is>
          <t>Checking</t>
        </is>
      </c>
      <c r="G270" s="9" t="inlineStr">
        <is>
          <t>Cliff/Roberto</t>
        </is>
      </c>
      <c r="H270" s="9" t="inlineStr">
        <is>
          <t>6x Thin Chicken Cutlets, 5x 12-ct eggs, 4x Mozzarella Cheese, 3x Almond Milk, 1x .5 gal Milk, 2x Multigrain, 10x Tuna, 2x Yogurt, 1 Honey, 2x Refried Beans | 10 days worth of groceries</t>
        </is>
      </c>
    </row>
    <row r="271">
      <c r="A271" s="25" t="n"/>
      <c r="B271" s="26" t="n"/>
      <c r="C271" s="10" t="n"/>
      <c r="D271" s="26" t="n"/>
      <c r="E271" s="26" t="n"/>
      <c r="F271" s="26" t="n"/>
      <c r="G271" s="26" t="n"/>
      <c r="H271" s="26" t="n"/>
    </row>
    <row r="272">
      <c r="A272" s="25" t="n"/>
      <c r="B272" s="26" t="n"/>
      <c r="C272" s="10" t="n"/>
      <c r="D272" s="26" t="n"/>
      <c r="E272" s="26" t="n"/>
      <c r="F272" s="26" t="n"/>
      <c r="G272" s="26" t="n"/>
      <c r="H272" s="26" t="n"/>
    </row>
    <row r="273">
      <c r="A273" s="25" t="n"/>
      <c r="B273" s="26" t="n"/>
      <c r="C273" s="10" t="n"/>
      <c r="D273" s="26" t="n"/>
      <c r="E273" s="26" t="n"/>
      <c r="F273" s="26" t="n"/>
      <c r="G273" s="26" t="n"/>
      <c r="H273" s="26" t="n"/>
    </row>
    <row r="274">
      <c r="A274" s="25" t="n"/>
      <c r="B274" s="26" t="n"/>
      <c r="C274" s="10" t="n"/>
      <c r="D274" s="26" t="n"/>
      <c r="E274" s="26" t="n"/>
      <c r="F274" s="26" t="n"/>
      <c r="G274" s="26" t="n"/>
      <c r="H274" s="26" t="n"/>
    </row>
    <row r="275">
      <c r="A275" s="25" t="n"/>
      <c r="B275" s="26" t="n"/>
      <c r="C275" s="10" t="n"/>
      <c r="D275" s="26" t="n"/>
      <c r="E275" s="26" t="n"/>
      <c r="F275" s="26" t="n"/>
      <c r="G275" s="26" t="n"/>
      <c r="H275" s="26" t="n"/>
    </row>
    <row r="276">
      <c r="A276" s="25" t="n"/>
      <c r="B276" s="26" t="n"/>
      <c r="C276" s="10" t="n"/>
      <c r="D276" s="26" t="n"/>
      <c r="E276" s="26" t="n"/>
      <c r="F276" s="26" t="n"/>
      <c r="G276" s="26" t="n"/>
      <c r="H276" s="26" t="n"/>
    </row>
    <row r="277">
      <c r="A277" s="25" t="n"/>
      <c r="B277" s="26" t="n"/>
      <c r="C277" s="10" t="n"/>
      <c r="D277" s="26" t="n"/>
      <c r="E277" s="26" t="n"/>
      <c r="F277" s="26" t="n"/>
      <c r="G277" s="26" t="n"/>
      <c r="H277" s="26" t="n"/>
    </row>
    <row r="278">
      <c r="A278" s="25" t="n"/>
      <c r="B278" s="26" t="n"/>
      <c r="C278" s="10" t="n"/>
      <c r="D278" s="26" t="n"/>
      <c r="E278" s="26" t="n"/>
      <c r="F278" s="26" t="n"/>
      <c r="G278" s="26" t="n"/>
      <c r="H278" s="26" t="n"/>
    </row>
    <row r="279">
      <c r="A279" s="25" t="n"/>
      <c r="B279" s="26" t="n"/>
      <c r="C279" s="10" t="n"/>
      <c r="D279" s="26" t="n"/>
      <c r="E279" s="26" t="n"/>
      <c r="F279" s="26" t="n"/>
      <c r="G279" s="26" t="n"/>
      <c r="H279" s="26" t="n"/>
    </row>
    <row r="280">
      <c r="A280" s="25" t="n"/>
      <c r="B280" s="26" t="n"/>
      <c r="C280" s="10" t="n"/>
      <c r="D280" s="26" t="n"/>
      <c r="E280" s="26" t="n"/>
      <c r="F280" s="26" t="n"/>
      <c r="G280" s="26" t="n"/>
      <c r="H280" s="26" t="n"/>
    </row>
    <row r="281">
      <c r="A281" s="25" t="n"/>
      <c r="B281" s="26" t="n"/>
      <c r="C281" s="10" t="n"/>
      <c r="D281" s="26" t="n"/>
      <c r="E281" s="26" t="n"/>
      <c r="F281" s="26" t="n"/>
      <c r="G281" s="26" t="n"/>
      <c r="H281" s="26" t="n"/>
    </row>
    <row r="282">
      <c r="A282" s="25" t="n"/>
      <c r="B282" s="26" t="n"/>
      <c r="C282" s="10" t="n"/>
      <c r="D282" s="26" t="n"/>
      <c r="E282" s="26" t="n"/>
      <c r="F282" s="26" t="n"/>
      <c r="G282" s="26" t="n"/>
      <c r="H282" s="26" t="n"/>
    </row>
    <row r="283">
      <c r="A283" s="25" t="n"/>
      <c r="B283" s="26" t="n"/>
      <c r="C283" s="10" t="n"/>
      <c r="D283" s="26" t="n"/>
      <c r="E283" s="26" t="n"/>
      <c r="F283" s="26" t="n"/>
      <c r="G283" s="26" t="n"/>
      <c r="H283" s="26" t="n"/>
    </row>
    <row r="284">
      <c r="A284" s="25" t="n"/>
      <c r="B284" s="26" t="n"/>
      <c r="C284" s="10" t="n"/>
      <c r="D284" s="26" t="n"/>
      <c r="E284" s="26" t="n"/>
      <c r="F284" s="26" t="n"/>
      <c r="G284" s="26" t="n"/>
      <c r="H284" s="26" t="n"/>
    </row>
    <row r="285">
      <c r="A285" s="25" t="n"/>
      <c r="B285" s="26" t="n"/>
      <c r="C285" s="10" t="n"/>
      <c r="D285" s="26" t="n"/>
      <c r="E285" s="26" t="n"/>
      <c r="F285" s="26" t="n"/>
      <c r="G285" s="26" t="n"/>
      <c r="H285" s="26" t="n"/>
    </row>
    <row r="286">
      <c r="A286" s="25" t="n"/>
      <c r="B286" s="26" t="n"/>
      <c r="C286" s="10" t="n"/>
      <c r="D286" s="26" t="n"/>
      <c r="E286" s="26" t="n"/>
      <c r="F286" s="26" t="n"/>
      <c r="G286" s="26" t="n"/>
      <c r="H286" s="26" t="n"/>
    </row>
    <row r="287">
      <c r="A287" s="25" t="n"/>
      <c r="B287" s="26" t="n"/>
      <c r="C287" s="10" t="n"/>
      <c r="D287" s="26" t="n"/>
      <c r="E287" s="26" t="n"/>
      <c r="F287" s="26" t="n"/>
      <c r="G287" s="26" t="n"/>
      <c r="H287" s="26" t="n"/>
    </row>
    <row r="288">
      <c r="A288" s="25" t="n"/>
      <c r="B288" s="26" t="n"/>
      <c r="C288" s="10" t="n"/>
      <c r="D288" s="26" t="n"/>
      <c r="E288" s="26" t="n"/>
      <c r="F288" s="26" t="n"/>
      <c r="G288" s="26" t="n"/>
      <c r="H288" s="26" t="n"/>
    </row>
    <row r="289">
      <c r="A289" s="25" t="n"/>
      <c r="B289" s="26" t="n"/>
      <c r="C289" s="10" t="n"/>
      <c r="D289" s="26" t="n"/>
      <c r="E289" s="26" t="n"/>
      <c r="F289" s="26" t="n"/>
      <c r="G289" s="26" t="n"/>
      <c r="H289" s="26" t="n"/>
    </row>
    <row r="290">
      <c r="A290" s="25" t="n"/>
      <c r="B290" s="26" t="n"/>
      <c r="C290" s="10" t="n"/>
      <c r="D290" s="26" t="n"/>
      <c r="E290" s="26" t="n"/>
      <c r="F290" s="26" t="n"/>
      <c r="G290" s="26" t="n"/>
      <c r="H290" s="26" t="n"/>
    </row>
    <row r="291">
      <c r="A291" s="25" t="n"/>
      <c r="B291" s="26" t="n"/>
      <c r="C291" s="10" t="n"/>
      <c r="D291" s="26" t="n"/>
      <c r="E291" s="26" t="n"/>
      <c r="F291" s="26" t="n"/>
      <c r="G291" s="26" t="n"/>
      <c r="H291" s="26" t="n"/>
    </row>
    <row r="292">
      <c r="A292" s="25" t="n"/>
      <c r="B292" s="26" t="n"/>
      <c r="C292" s="10" t="n"/>
      <c r="D292" s="26" t="n"/>
      <c r="E292" s="26" t="n"/>
      <c r="F292" s="26" t="n"/>
      <c r="G292" s="26" t="n"/>
      <c r="H292" s="26" t="n"/>
    </row>
    <row r="293">
      <c r="A293" s="25" t="n"/>
      <c r="B293" s="26" t="n"/>
      <c r="C293" s="10" t="n"/>
      <c r="D293" s="26" t="n"/>
      <c r="E293" s="26" t="n"/>
      <c r="F293" s="26" t="n"/>
      <c r="G293" s="26" t="n"/>
      <c r="H293" s="26" t="n"/>
    </row>
    <row r="294">
      <c r="A294" s="25" t="n"/>
      <c r="B294" s="26" t="n"/>
      <c r="C294" s="10" t="n"/>
      <c r="D294" s="26" t="n"/>
      <c r="E294" s="26" t="n"/>
      <c r="F294" s="26" t="n"/>
      <c r="G294" s="26" t="n"/>
      <c r="H294" s="26" t="n"/>
    </row>
    <row r="295">
      <c r="A295" s="25" t="n"/>
      <c r="B295" s="26" t="n"/>
      <c r="C295" s="10" t="n"/>
      <c r="D295" s="26" t="n"/>
      <c r="E295" s="26" t="n"/>
      <c r="F295" s="26" t="n"/>
      <c r="G295" s="26" t="n"/>
      <c r="H295" s="26" t="n"/>
    </row>
    <row r="296">
      <c r="A296" s="25" t="n"/>
      <c r="B296" s="26" t="n"/>
      <c r="C296" s="10" t="n"/>
      <c r="D296" s="26" t="n"/>
      <c r="E296" s="26" t="n"/>
      <c r="F296" s="26" t="n"/>
      <c r="G296" s="26" t="n"/>
      <c r="H296" s="26" t="n"/>
    </row>
    <row r="297">
      <c r="A297" s="25" t="n"/>
      <c r="B297" s="26" t="n"/>
      <c r="C297" s="10" t="n"/>
      <c r="D297" s="26" t="n"/>
      <c r="E297" s="26" t="n"/>
      <c r="F297" s="26" t="n"/>
      <c r="G297" s="26" t="n"/>
      <c r="H297" s="26" t="n"/>
    </row>
    <row r="298">
      <c r="A298" s="25" t="n"/>
      <c r="B298" s="26" t="n"/>
      <c r="C298" s="10" t="n"/>
      <c r="D298" s="26" t="n"/>
      <c r="E298" s="26" t="n"/>
      <c r="F298" s="26" t="n"/>
      <c r="G298" s="26" t="n"/>
      <c r="H298" s="26" t="n"/>
    </row>
    <row r="299">
      <c r="A299" s="25" t="n"/>
      <c r="B299" s="26" t="n"/>
      <c r="C299" s="10" t="n"/>
      <c r="D299" s="26" t="n"/>
      <c r="E299" s="26" t="n"/>
      <c r="F299" s="26" t="n"/>
      <c r="G299" s="26" t="n"/>
      <c r="H299" s="26" t="n"/>
    </row>
    <row r="300">
      <c r="A300" s="25" t="n"/>
      <c r="B300" s="26" t="n"/>
      <c r="C300" s="10" t="n"/>
      <c r="D300" s="26" t="n"/>
      <c r="E300" s="26" t="n"/>
      <c r="F300" s="26" t="n"/>
      <c r="G300" s="26" t="n"/>
      <c r="H300" s="26" t="n"/>
    </row>
    <row r="301">
      <c r="A301" s="25" t="n"/>
      <c r="B301" s="26" t="n"/>
      <c r="C301" s="10" t="n"/>
      <c r="D301" s="26" t="n"/>
      <c r="E301" s="26" t="n"/>
      <c r="F301" s="26" t="n"/>
      <c r="G301" s="26" t="n"/>
      <c r="H301" s="26" t="n"/>
    </row>
    <row r="302">
      <c r="A302" s="25" t="n"/>
      <c r="B302" s="26" t="n"/>
      <c r="C302" s="10" t="n"/>
      <c r="D302" s="26" t="n"/>
      <c r="E302" s="26" t="n"/>
      <c r="F302" s="26" t="n"/>
      <c r="G302" s="26" t="n"/>
      <c r="H302" s="26" t="n"/>
    </row>
    <row r="303">
      <c r="A303" s="25" t="n"/>
      <c r="B303" s="26" t="n"/>
      <c r="C303" s="10" t="n"/>
      <c r="D303" s="26" t="n"/>
      <c r="E303" s="26" t="n"/>
      <c r="F303" s="26" t="n"/>
      <c r="G303" s="26" t="n"/>
      <c r="H303" s="26" t="n"/>
    </row>
    <row r="304">
      <c r="A304" s="25" t="n"/>
      <c r="B304" s="26" t="n"/>
      <c r="C304" s="10" t="n"/>
      <c r="D304" s="26" t="n"/>
      <c r="E304" s="26" t="n"/>
      <c r="F304" s="26" t="n"/>
      <c r="G304" s="26" t="n"/>
      <c r="H304" s="26" t="n"/>
    </row>
    <row r="305">
      <c r="A305" s="25" t="n"/>
      <c r="B305" s="26" t="n"/>
      <c r="C305" s="10" t="n"/>
      <c r="D305" s="26" t="n"/>
      <c r="E305" s="26" t="n"/>
      <c r="F305" s="26" t="n"/>
      <c r="G305" s="26" t="n"/>
      <c r="H305" s="26" t="n"/>
    </row>
    <row r="306">
      <c r="A306" s="25" t="n"/>
      <c r="B306" s="26" t="n"/>
      <c r="C306" s="10" t="n"/>
      <c r="D306" s="26" t="n"/>
      <c r="E306" s="26" t="n"/>
      <c r="F306" s="26" t="n"/>
      <c r="G306" s="26" t="n"/>
      <c r="H306" s="26" t="n"/>
    </row>
    <row r="307">
      <c r="A307" s="25" t="n"/>
      <c r="B307" s="26" t="n"/>
      <c r="C307" s="10" t="n"/>
      <c r="D307" s="26" t="n"/>
      <c r="E307" s="26" t="n"/>
      <c r="F307" s="26" t="n"/>
      <c r="G307" s="26" t="n"/>
      <c r="H307" s="26" t="n"/>
    </row>
    <row r="308">
      <c r="A308" s="25" t="n"/>
      <c r="B308" s="26" t="n"/>
      <c r="C308" s="10" t="n"/>
      <c r="D308" s="26" t="n"/>
      <c r="E308" s="26" t="n"/>
      <c r="F308" s="26" t="n"/>
      <c r="G308" s="26" t="n"/>
      <c r="H308" s="26" t="n"/>
    </row>
    <row r="309">
      <c r="A309" s="25" t="n"/>
      <c r="B309" s="26" t="n"/>
      <c r="C309" s="10" t="n"/>
      <c r="D309" s="26" t="n"/>
      <c r="E309" s="26" t="n"/>
      <c r="F309" s="26" t="n"/>
      <c r="G309" s="26" t="n"/>
      <c r="H309" s="26" t="n"/>
    </row>
    <row r="310">
      <c r="A310" s="25" t="n"/>
      <c r="B310" s="26" t="n"/>
      <c r="C310" s="10" t="n"/>
      <c r="D310" s="26" t="n"/>
      <c r="E310" s="26" t="n"/>
      <c r="F310" s="26" t="n"/>
      <c r="G310" s="26" t="n"/>
      <c r="H310" s="26" t="n"/>
    </row>
    <row r="311">
      <c r="A311" s="25" t="n"/>
      <c r="B311" s="26" t="n"/>
      <c r="C311" s="10" t="n"/>
      <c r="D311" s="26" t="n"/>
      <c r="E311" s="26" t="n"/>
      <c r="F311" s="26" t="n"/>
      <c r="G311" s="26" t="n"/>
      <c r="H311" s="26" t="n"/>
    </row>
  </sheetData>
  <autoFilter ref="A4:H311"/>
  <mergeCells count="1">
    <mergeCell ref="A3:H3"/>
  </mergeCells>
  <dataValidations count="4">
    <dataValidation sqref="D5:D311" showDropDown="0" showInputMessage="0" showErrorMessage="0" allowBlank="1" type="list">
      <formula1>Lists!$D$1:$D$3</formula1>
    </dataValidation>
    <dataValidation sqref="E5:E311" showDropDown="0" showInputMessage="0" showErrorMessage="0" allowBlank="1" type="list">
      <formula1>Lists!$A$1:$A$15</formula1>
    </dataValidation>
    <dataValidation sqref="F5:F311" showDropDown="0" showInputMessage="0" showErrorMessage="0" allowBlank="1" type="list">
      <formula1>Lists!$B$1:$B$9</formula1>
    </dataValidation>
    <dataValidation sqref="G5:G311" showDropDown="0" showInputMessage="0" showErrorMessage="0" allowBlank="1" type="list">
      <formula1>Lists!$C$1:$C$5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showGridLines="0" workbookViewId="0">
      <selection activeCell="A1" sqref="A1"/>
    </sheetView>
  </sheetViews>
  <sheetFormatPr baseColWidth="8" defaultRowHeight="15"/>
  <cols>
    <col width="22" customWidth="1" min="1" max="1"/>
    <col width="11" customWidth="1" min="2" max="2"/>
    <col width="12" customWidth="1" min="3" max="3"/>
    <col width="18" customWidth="1" min="4" max="4"/>
    <col width="8" customWidth="1" min="5" max="5"/>
    <col width="11" customWidth="1" min="6" max="6"/>
    <col width="14" customWidth="1" min="7" max="7"/>
    <col width="16" customWidth="1" min="8" max="8"/>
    <col width="11" customWidth="1" min="9" max="9"/>
  </cols>
  <sheetData>
    <row r="1">
      <c r="A1" s="1" t="inlineStr">
        <is>
          <t>MONEY</t>
        </is>
      </c>
    </row>
    <row r="2" ht="28" customHeight="1">
      <c r="A2" s="2" t="inlineStr">
        <is>
          <t>Plan</t>
        </is>
      </c>
    </row>
    <row r="3">
      <c r="A3" s="3" t="inlineStr">
        <is>
          <t>Set once. Bills marked ON auto-subtract on This Month.</t>
        </is>
      </c>
    </row>
    <row r="4">
      <c r="A4" s="4" t="inlineStr">
        <is>
          <t>SPEND TARGETS</t>
        </is>
      </c>
      <c r="D4" s="4" t="inlineStr">
        <is>
          <t>INCOME</t>
        </is>
      </c>
      <c r="H4" s="4" t="inlineStr">
        <is>
          <t>BILLS BY CATEGORY</t>
        </is>
      </c>
    </row>
    <row r="5">
      <c r="A5" s="8" t="inlineStr">
        <is>
          <t>CATEGORY</t>
        </is>
      </c>
      <c r="B5" s="8" t="inlineStr">
        <is>
          <t>MONTHLY</t>
        </is>
      </c>
      <c r="D5" s="8" t="inlineStr">
        <is>
          <t>SOURCE</t>
        </is>
      </c>
      <c r="E5" s="8" t="inlineStr">
        <is>
          <t>AMOUNT</t>
        </is>
      </c>
      <c r="H5" s="8" t="inlineStr">
        <is>
          <t>CATEGORY</t>
        </is>
      </c>
      <c r="I5" s="8" t="inlineStr">
        <is>
          <t>MONTHLY</t>
        </is>
      </c>
    </row>
    <row r="6">
      <c r="A6" s="9" t="inlineStr">
        <is>
          <t>Rent</t>
        </is>
      </c>
      <c r="B6" s="27" t="n">
        <v>1120</v>
      </c>
      <c r="D6" s="9" t="inlineStr">
        <is>
          <t>Paycheck 1</t>
        </is>
      </c>
      <c r="E6" s="27" t="n">
        <v>1615</v>
      </c>
      <c r="H6" s="9" t="inlineStr">
        <is>
          <t>Rent</t>
        </is>
      </c>
      <c r="I6" s="13">
        <f>SUMIF($G$24:$G$40,H6,$F$24:$F$40)</f>
        <v/>
      </c>
    </row>
    <row r="7">
      <c r="A7" s="9" t="inlineStr">
        <is>
          <t>Utilities</t>
        </is>
      </c>
      <c r="B7" s="27" t="n">
        <v>80</v>
      </c>
      <c r="D7" s="9" t="inlineStr">
        <is>
          <t>Paycheck 2</t>
        </is>
      </c>
      <c r="E7" s="27" t="n">
        <v>1615</v>
      </c>
      <c r="H7" s="9" t="inlineStr">
        <is>
          <t>Utilities</t>
        </is>
      </c>
      <c r="I7" s="13">
        <f>SUMIF($G$24:$G$40,H7,$F$24:$F$40)</f>
        <v/>
      </c>
    </row>
    <row r="8">
      <c r="A8" s="9" t="inlineStr">
        <is>
          <t>Subscriptions</t>
        </is>
      </c>
      <c r="B8" s="27" t="n">
        <v>254</v>
      </c>
      <c r="D8" s="9" t="inlineStr">
        <is>
          <t>Alliance Stipend</t>
        </is>
      </c>
      <c r="E8" s="27" t="n">
        <v>75</v>
      </c>
      <c r="H8" s="9" t="inlineStr">
        <is>
          <t>Subscriptions</t>
        </is>
      </c>
      <c r="I8" s="13">
        <f>SUMIF($G$24:$G$40,H8,$F$24:$F$40)</f>
        <v/>
      </c>
    </row>
    <row r="9">
      <c r="A9" s="9" t="inlineStr">
        <is>
          <t>Grocery</t>
        </is>
      </c>
      <c r="B9" s="27" t="n">
        <v>400</v>
      </c>
      <c r="D9" s="9" t="inlineStr">
        <is>
          <t>Extra income</t>
        </is>
      </c>
      <c r="E9" s="27" t="n">
        <v>0</v>
      </c>
      <c r="H9" s="9" t="inlineStr">
        <is>
          <t>Grocery</t>
        </is>
      </c>
      <c r="I9" s="13">
        <f>SUMIF($G$24:$G$40,H9,$F$24:$F$40)</f>
        <v/>
      </c>
    </row>
    <row r="10">
      <c r="A10" s="9" t="inlineStr">
        <is>
          <t>Dining</t>
        </is>
      </c>
      <c r="B10" s="27" t="n">
        <v>200</v>
      </c>
      <c r="H10" s="9" t="inlineStr">
        <is>
          <t>Dining</t>
        </is>
      </c>
      <c r="I10" s="13">
        <f>SUMIF($G$24:$G$40,H10,$F$24:$F$40)</f>
        <v/>
      </c>
    </row>
    <row r="11">
      <c r="A11" s="9" t="inlineStr">
        <is>
          <t>Transit</t>
        </is>
      </c>
      <c r="B11" s="27" t="n">
        <v>60</v>
      </c>
      <c r="D11" s="4" t="inlineStr">
        <is>
          <t>EXPECTED / MONTH</t>
        </is>
      </c>
      <c r="E11" s="28">
        <f>SUM(E6:E9)</f>
        <v/>
      </c>
      <c r="H11" s="9" t="inlineStr">
        <is>
          <t>Transit</t>
        </is>
      </c>
      <c r="I11" s="13">
        <f>SUMIF($G$24:$G$40,H11,$F$24:$F$40)</f>
        <v/>
      </c>
    </row>
    <row r="12">
      <c r="A12" s="9" t="inlineStr">
        <is>
          <t>Shopping</t>
        </is>
      </c>
      <c r="B12" s="27" t="n">
        <v>150</v>
      </c>
      <c r="H12" s="9" t="inlineStr">
        <is>
          <t>Shopping</t>
        </is>
      </c>
      <c r="I12" s="13">
        <f>SUMIF($G$24:$G$40,H12,$F$24:$F$40)</f>
        <v/>
      </c>
    </row>
    <row r="13">
      <c r="A13" s="9" t="inlineStr">
        <is>
          <t>Personal</t>
        </is>
      </c>
      <c r="B13" s="27" t="n">
        <v>75</v>
      </c>
      <c r="H13" s="9" t="inlineStr">
        <is>
          <t>Personal</t>
        </is>
      </c>
      <c r="I13" s="13">
        <f>SUMIF($G$24:$G$40,H13,$F$24:$F$40)</f>
        <v/>
      </c>
    </row>
    <row r="14">
      <c r="A14" s="9" t="inlineStr">
        <is>
          <t>Home</t>
        </is>
      </c>
      <c r="B14" s="27" t="n">
        <v>50</v>
      </c>
      <c r="H14" s="9" t="inlineStr">
        <is>
          <t>Home</t>
        </is>
      </c>
      <c r="I14" s="13">
        <f>SUMIF($G$24:$G$40,H14,$F$24:$F$40)</f>
        <v/>
      </c>
    </row>
    <row r="15">
      <c r="A15" s="9" t="inlineStr">
        <is>
          <t>Health</t>
        </is>
      </c>
      <c r="B15" s="27" t="n">
        <v>20</v>
      </c>
      <c r="H15" s="9" t="inlineStr">
        <is>
          <t>Health</t>
        </is>
      </c>
      <c r="I15" s="13">
        <f>SUMIF($G$24:$G$40,H15,$F$24:$F$40)</f>
        <v/>
      </c>
    </row>
    <row r="16">
      <c r="A16" s="9" t="inlineStr">
        <is>
          <t>Entertainment</t>
        </is>
      </c>
      <c r="B16" s="27" t="n">
        <v>40</v>
      </c>
      <c r="H16" s="9" t="inlineStr">
        <is>
          <t>Entertainment</t>
        </is>
      </c>
      <c r="I16" s="13">
        <f>SUMIF($G$24:$G$40,H16,$F$24:$F$40)</f>
        <v/>
      </c>
    </row>
    <row r="17">
      <c r="A17" s="9" t="inlineStr">
        <is>
          <t>Savings</t>
        </is>
      </c>
      <c r="B17" s="27" t="n">
        <v>200</v>
      </c>
      <c r="H17" s="9" t="inlineStr">
        <is>
          <t>Savings</t>
        </is>
      </c>
      <c r="I17" s="13">
        <f>SUMIF($G$24:$G$40,H17,$F$24:$F$40)</f>
        <v/>
      </c>
    </row>
    <row r="18">
      <c r="A18" s="9" t="inlineStr">
        <is>
          <t>Misc</t>
        </is>
      </c>
      <c r="B18" s="27" t="n">
        <v>100</v>
      </c>
      <c r="H18" s="9" t="inlineStr">
        <is>
          <t>Misc</t>
        </is>
      </c>
      <c r="I18" s="13">
        <f>SUMIF($G$24:$G$40,H18,$F$24:$F$40)</f>
        <v/>
      </c>
    </row>
    <row r="19">
      <c r="A19" s="15" t="inlineStr">
        <is>
          <t>TOTAL</t>
        </is>
      </c>
      <c r="B19" s="16">
        <f>SUM(B6:B18)</f>
        <v/>
      </c>
    </row>
    <row r="20">
      <c r="A20" s="4" t="inlineStr">
        <is>
          <t>EXPECTED INCOME REF</t>
        </is>
      </c>
      <c r="B20" s="29">
        <f>E11</f>
        <v/>
      </c>
    </row>
    <row r="21">
      <c r="A21" s="4" t="inlineStr">
        <is>
          <t>BILLS AUTO-COUNT (monthly)</t>
        </is>
      </c>
      <c r="B21" s="30">
        <f>SUM(F24:F40)</f>
        <v/>
      </c>
    </row>
    <row r="22">
      <c r="A22" s="4" t="inlineStr">
        <is>
          <t>RECURRING</t>
        </is>
      </c>
    </row>
    <row r="23">
      <c r="A23" s="8" t="inlineStr">
        <is>
          <t>NAME</t>
        </is>
      </c>
      <c r="B23" s="8" t="inlineStr">
        <is>
          <t>AMOUNT</t>
        </is>
      </c>
      <c r="C23" s="8" t="inlineStr">
        <is>
          <t>EVERY</t>
        </is>
      </c>
      <c r="D23" s="8" t="inlineStr">
        <is>
          <t>ACCOUNT</t>
        </is>
      </c>
      <c r="E23" s="8" t="inlineStr">
        <is>
          <t>ON</t>
        </is>
      </c>
      <c r="F23" s="8" t="inlineStr">
        <is>
          <t>MONTHLY</t>
        </is>
      </c>
      <c r="G23" s="8" t="inlineStr">
        <is>
          <t>CATEGORY</t>
        </is>
      </c>
    </row>
    <row r="24">
      <c r="A24" s="9" t="inlineStr">
        <is>
          <t>Rent</t>
        </is>
      </c>
      <c r="B24" s="27" t="n">
        <v>1120</v>
      </c>
      <c r="C24" s="31" t="inlineStr">
        <is>
          <t>Monthly</t>
        </is>
      </c>
      <c r="D24" s="31" t="inlineStr">
        <is>
          <t>Checking</t>
        </is>
      </c>
      <c r="E24" s="18" t="inlineStr">
        <is>
          <t>Y</t>
        </is>
      </c>
      <c r="F24" s="13">
        <f>IF(E24&lt;&gt;"Y",0,IF(C24="Annually",B24/12,IF(C24="Quarterly",B24/3,IF(C24="Weekly",B24*52/12,IF(C24="Biweekly",B24*26/12,B24)))))</f>
        <v/>
      </c>
      <c r="G24" s="32" t="inlineStr">
        <is>
          <t>Rent</t>
        </is>
      </c>
    </row>
    <row r="25">
      <c r="A25" s="9" t="inlineStr">
        <is>
          <t>Electricity (ConEd)</t>
        </is>
      </c>
      <c r="B25" s="27" t="n">
        <v>52</v>
      </c>
      <c r="C25" s="31" t="inlineStr">
        <is>
          <t>Monthly</t>
        </is>
      </c>
      <c r="D25" s="31" t="inlineStr">
        <is>
          <t>Checking</t>
        </is>
      </c>
      <c r="E25" s="18" t="inlineStr">
        <is>
          <t>Y</t>
        </is>
      </c>
      <c r="F25" s="13">
        <f>IF(E25&lt;&gt;"Y",0,IF(C25="Annually",B25/12,IF(C25="Quarterly",B25/3,IF(C25="Weekly",B25*52/12,IF(C25="Biweekly",B25*26/12,B25)))))</f>
        <v/>
      </c>
      <c r="G25" s="32" t="inlineStr">
        <is>
          <t>Utilities</t>
        </is>
      </c>
    </row>
    <row r="26">
      <c r="A26" s="9" t="inlineStr">
        <is>
          <t>Gas (National Grid)</t>
        </is>
      </c>
      <c r="B26" s="27" t="n">
        <v>26</v>
      </c>
      <c r="C26" s="31" t="inlineStr">
        <is>
          <t>Monthly</t>
        </is>
      </c>
      <c r="D26" s="31" t="inlineStr">
        <is>
          <t>Checking</t>
        </is>
      </c>
      <c r="E26" s="18" t="inlineStr">
        <is>
          <t>Y</t>
        </is>
      </c>
      <c r="F26" s="13">
        <f>IF(E26&lt;&gt;"Y",0,IF(C26="Annually",B26/12,IF(C26="Quarterly",B26/3,IF(C26="Weekly",B26*52/12,IF(C26="Biweekly",B26*26/12,B26)))))</f>
        <v/>
      </c>
      <c r="G26" s="32" t="inlineStr">
        <is>
          <t>Utilities</t>
        </is>
      </c>
    </row>
    <row r="27">
      <c r="A27" s="9" t="inlineStr">
        <is>
          <t>Transit</t>
        </is>
      </c>
      <c r="B27" s="27" t="n">
        <v>60</v>
      </c>
      <c r="C27" s="31" t="inlineStr">
        <is>
          <t>Monthly</t>
        </is>
      </c>
      <c r="D27" s="31" t="inlineStr">
        <is>
          <t>Checking</t>
        </is>
      </c>
      <c r="E27" s="18" t="inlineStr">
        <is>
          <t>Y</t>
        </is>
      </c>
      <c r="F27" s="13">
        <f>IF(E27&lt;&gt;"Y",0,IF(C27="Annually",B27/12,IF(C27="Quarterly",B27/3,IF(C27="Weekly",B27*52/12,IF(C27="Biweekly",B27*26/12,B27)))))</f>
        <v/>
      </c>
      <c r="G27" s="32" t="inlineStr">
        <is>
          <t>Transit</t>
        </is>
      </c>
    </row>
    <row r="28">
      <c r="A28" s="9" t="inlineStr">
        <is>
          <t>Savings transfer</t>
        </is>
      </c>
      <c r="B28" s="27" t="n">
        <v>200</v>
      </c>
      <c r="C28" s="31" t="inlineStr">
        <is>
          <t>Monthly</t>
        </is>
      </c>
      <c r="D28" s="31" t="inlineStr">
        <is>
          <t>Ally Savings</t>
        </is>
      </c>
      <c r="E28" s="18" t="inlineStr">
        <is>
          <t>Y</t>
        </is>
      </c>
      <c r="F28" s="13">
        <f>IF(E28&lt;&gt;"Y",0,IF(C28="Annually",B28/12,IF(C28="Quarterly",B28/3,IF(C28="Weekly",B28*52/12,IF(C28="Biweekly",B28*26/12,B28)))))</f>
        <v/>
      </c>
      <c r="G28" s="32" t="inlineStr">
        <is>
          <t>Savings</t>
        </is>
      </c>
    </row>
    <row r="29">
      <c r="A29" s="9" t="inlineStr">
        <is>
          <t>Amazon Prime</t>
        </is>
      </c>
      <c r="B29" s="27" t="n">
        <v>16.32</v>
      </c>
      <c r="C29" s="31" t="inlineStr">
        <is>
          <t>Monthly</t>
        </is>
      </c>
      <c r="D29" s="31" t="inlineStr">
        <is>
          <t>Bilt</t>
        </is>
      </c>
      <c r="E29" s="18" t="inlineStr">
        <is>
          <t>Y</t>
        </is>
      </c>
      <c r="F29" s="13">
        <f>IF(E29&lt;&gt;"Y",0,IF(C29="Annually",B29/12,IF(C29="Quarterly",B29/3,IF(C29="Weekly",B29*52/12,IF(C29="Biweekly",B29*26/12,B29)))))</f>
        <v/>
      </c>
      <c r="G29" s="32" t="inlineStr">
        <is>
          <t>Subscriptions</t>
        </is>
      </c>
    </row>
    <row r="30">
      <c r="A30" s="9" t="inlineStr">
        <is>
          <t>Splice</t>
        </is>
      </c>
      <c r="B30" s="27" t="n">
        <v>12</v>
      </c>
      <c r="C30" s="31" t="inlineStr">
        <is>
          <t>Monthly</t>
        </is>
      </c>
      <c r="D30" s="31" t="inlineStr">
        <is>
          <t>Bilt</t>
        </is>
      </c>
      <c r="E30" s="18" t="inlineStr">
        <is>
          <t>Y</t>
        </is>
      </c>
      <c r="F30" s="13">
        <f>IF(E30&lt;&gt;"Y",0,IF(C30="Annually",B30/12,IF(C30="Quarterly",B30/3,IF(C30="Weekly",B30*52/12,IF(C30="Biweekly",B30*26/12,B30)))))</f>
        <v/>
      </c>
      <c r="G30" s="32" t="inlineStr">
        <is>
          <t>Subscriptions</t>
        </is>
      </c>
    </row>
    <row r="31">
      <c r="A31" s="9" t="inlineStr">
        <is>
          <t>iCloud</t>
        </is>
      </c>
      <c r="B31" s="27" t="n">
        <v>2.99</v>
      </c>
      <c r="C31" s="31" t="inlineStr">
        <is>
          <t>Monthly</t>
        </is>
      </c>
      <c r="D31" s="31" t="inlineStr">
        <is>
          <t>Apple Card</t>
        </is>
      </c>
      <c r="E31" s="18" t="inlineStr">
        <is>
          <t>Y</t>
        </is>
      </c>
      <c r="F31" s="13">
        <f>IF(E31&lt;&gt;"Y",0,IF(C31="Annually",B31/12,IF(C31="Quarterly",B31/3,IF(C31="Weekly",B31*52/12,IF(C31="Biweekly",B31*26/12,B31)))))</f>
        <v/>
      </c>
      <c r="G31" s="32" t="inlineStr">
        <is>
          <t>Subscriptions</t>
        </is>
      </c>
    </row>
    <row r="32">
      <c r="A32" s="9" t="inlineStr">
        <is>
          <t>Tidal</t>
        </is>
      </c>
      <c r="B32" s="27" t="n">
        <v>19</v>
      </c>
      <c r="C32" s="31" t="inlineStr">
        <is>
          <t>Monthly</t>
        </is>
      </c>
      <c r="D32" s="31" t="inlineStr">
        <is>
          <t>Bilt</t>
        </is>
      </c>
      <c r="E32" s="18" t="inlineStr">
        <is>
          <t>Y</t>
        </is>
      </c>
      <c r="F32" s="13">
        <f>IF(E32&lt;&gt;"Y",0,IF(C32="Annually",B32/12,IF(C32="Quarterly",B32/3,IF(C32="Weekly",B32*52/12,IF(C32="Biweekly",B32*26/12,B32)))))</f>
        <v/>
      </c>
      <c r="G32" s="32" t="inlineStr">
        <is>
          <t>Subscriptions</t>
        </is>
      </c>
    </row>
    <row r="33">
      <c r="A33" s="9" t="inlineStr">
        <is>
          <t>Internet</t>
        </is>
      </c>
      <c r="B33" s="27" t="n">
        <v>50</v>
      </c>
      <c r="C33" s="31" t="inlineStr">
        <is>
          <t>Monthly</t>
        </is>
      </c>
      <c r="D33" s="31" t="inlineStr">
        <is>
          <t>Bilt</t>
        </is>
      </c>
      <c r="E33" s="18" t="inlineStr">
        <is>
          <t>Y</t>
        </is>
      </c>
      <c r="F33" s="13">
        <f>IF(E33&lt;&gt;"Y",0,IF(C33="Annually",B33/12,IF(C33="Quarterly",B33/3,IF(C33="Weekly",B33*52/12,IF(C33="Biweekly",B33*26/12,B33)))))</f>
        <v/>
      </c>
      <c r="G33" s="32" t="inlineStr">
        <is>
          <t>Subscriptions</t>
        </is>
      </c>
    </row>
    <row r="34">
      <c r="A34" s="9" t="inlineStr">
        <is>
          <t>Absolute Power</t>
        </is>
      </c>
      <c r="B34" s="27" t="n">
        <v>53.25</v>
      </c>
      <c r="C34" s="31" t="inlineStr">
        <is>
          <t>Monthly</t>
        </is>
      </c>
      <c r="D34" s="31" t="inlineStr">
        <is>
          <t>Bilt</t>
        </is>
      </c>
      <c r="E34" s="18" t="inlineStr">
        <is>
          <t>Y</t>
        </is>
      </c>
      <c r="F34" s="13">
        <f>IF(E34&lt;&gt;"Y",0,IF(C34="Annually",B34/12,IF(C34="Quarterly",B34/3,IF(C34="Weekly",B34*52/12,IF(C34="Biweekly",B34*26/12,B34)))))</f>
        <v/>
      </c>
      <c r="G34" s="32" t="inlineStr">
        <is>
          <t>Subscriptions</t>
        </is>
      </c>
    </row>
    <row r="35">
      <c r="A35" s="9" t="inlineStr">
        <is>
          <t>finasteride</t>
        </is>
      </c>
      <c r="B35" s="27" t="n">
        <v>20</v>
      </c>
      <c r="C35" s="31" t="inlineStr">
        <is>
          <t>Monthly</t>
        </is>
      </c>
      <c r="D35" s="31" t="inlineStr">
        <is>
          <t>Bilt</t>
        </is>
      </c>
      <c r="E35" s="18" t="inlineStr">
        <is>
          <t>Y</t>
        </is>
      </c>
      <c r="F35" s="13">
        <f>IF(E35&lt;&gt;"Y",0,IF(C35="Annually",B35/12,IF(C35="Quarterly",B35/3,IF(C35="Weekly",B35*52/12,IF(C35="Biweekly",B35*26/12,B35)))))</f>
        <v/>
      </c>
      <c r="G35" s="32" t="inlineStr">
        <is>
          <t>Subscriptions</t>
        </is>
      </c>
    </row>
    <row r="36">
      <c r="A36" s="9" t="inlineStr">
        <is>
          <t>Google Cloud</t>
        </is>
      </c>
      <c r="B36" s="27" t="n">
        <v>20</v>
      </c>
      <c r="C36" s="31" t="inlineStr">
        <is>
          <t>Monthly</t>
        </is>
      </c>
      <c r="D36" s="31" t="inlineStr">
        <is>
          <t>Checking</t>
        </is>
      </c>
      <c r="E36" s="18" t="inlineStr">
        <is>
          <t>Y</t>
        </is>
      </c>
      <c r="F36" s="13">
        <f>IF(E36&lt;&gt;"Y",0,IF(C36="Annually",B36/12,IF(C36="Quarterly",B36/3,IF(C36="Weekly",B36*52/12,IF(C36="Biweekly",B36*26/12,B36)))))</f>
        <v/>
      </c>
      <c r="G36" s="32" t="inlineStr">
        <is>
          <t>Subscriptions</t>
        </is>
      </c>
    </row>
    <row r="37">
      <c r="A37" s="9" t="inlineStr">
        <is>
          <t>CursorAI</t>
        </is>
      </c>
      <c r="B37" s="27" t="n">
        <v>60</v>
      </c>
      <c r="C37" s="31" t="inlineStr">
        <is>
          <t>Monthly</t>
        </is>
      </c>
      <c r="D37" s="31" t="inlineStr">
        <is>
          <t>Bilt</t>
        </is>
      </c>
      <c r="E37" s="18" t="inlineStr">
        <is>
          <t>Y</t>
        </is>
      </c>
      <c r="F37" s="13">
        <f>IF(E37&lt;&gt;"Y",0,IF(C37="Annually",B37/12,IF(C37="Quarterly",B37/3,IF(C37="Weekly",B37*52/12,IF(C37="Biweekly",B37*26/12,B37)))))</f>
        <v/>
      </c>
      <c r="G37" s="32" t="inlineStr">
        <is>
          <t>Subscriptions</t>
        </is>
      </c>
    </row>
    <row r="38">
      <c r="A38" s="9" t="inlineStr">
        <is>
          <t>Soundiiz</t>
        </is>
      </c>
      <c r="B38" s="27" t="n">
        <v>24</v>
      </c>
      <c r="C38" s="31" t="inlineStr">
        <is>
          <t>Annually</t>
        </is>
      </c>
      <c r="D38" s="31" t="inlineStr">
        <is>
          <t>Bilt</t>
        </is>
      </c>
      <c r="E38" s="18" t="inlineStr">
        <is>
          <t>Y</t>
        </is>
      </c>
      <c r="F38" s="13">
        <f>IF(E38&lt;&gt;"Y",0,IF(C38="Annually",B38/12,IF(C38="Quarterly",B38/3,IF(C38="Weekly",B38*52/12,IF(C38="Biweekly",B38*26/12,B38)))))</f>
        <v/>
      </c>
      <c r="G38" s="32" t="inlineStr">
        <is>
          <t>Subscriptions</t>
        </is>
      </c>
    </row>
    <row r="39">
      <c r="A39" s="9" t="inlineStr">
        <is>
          <t>Healthy Vocal</t>
        </is>
      </c>
      <c r="B39" s="27" t="n">
        <v>40</v>
      </c>
      <c r="C39" s="31" t="inlineStr">
        <is>
          <t>Annually</t>
        </is>
      </c>
      <c r="D39" s="31" t="inlineStr">
        <is>
          <t>Bilt</t>
        </is>
      </c>
      <c r="E39" s="18" t="inlineStr">
        <is>
          <t>Y</t>
        </is>
      </c>
      <c r="F39" s="13">
        <f>IF(E39&lt;&gt;"Y",0,IF(C39="Annually",B39/12,IF(C39="Quarterly",B39/3,IF(C39="Weekly",B39*52/12,IF(C39="Biweekly",B39*26/12,B39)))))</f>
        <v/>
      </c>
      <c r="G39" s="32" t="inlineStr">
        <is>
          <t>Subscriptions</t>
        </is>
      </c>
    </row>
    <row r="40">
      <c r="A40" s="9" t="inlineStr">
        <is>
          <t>Apple Dev program</t>
        </is>
      </c>
      <c r="B40" s="27" t="n">
        <v>99</v>
      </c>
      <c r="C40" s="31" t="inlineStr">
        <is>
          <t>Annually</t>
        </is>
      </c>
      <c r="D40" s="31" t="inlineStr">
        <is>
          <t>Bilt</t>
        </is>
      </c>
      <c r="E40" s="18" t="inlineStr">
        <is>
          <t>Y</t>
        </is>
      </c>
      <c r="F40" s="13">
        <f>IF(E40&lt;&gt;"Y",0,IF(C40="Annually",B40/12,IF(C40="Quarterly",B40/3,IF(C40="Weekly",B40*52/12,IF(C40="Biweekly",B40*26/12,B40)))))</f>
        <v/>
      </c>
      <c r="G40" s="32" t="inlineStr">
        <is>
          <t>Subscriptions</t>
        </is>
      </c>
    </row>
    <row r="42">
      <c r="A42" s="3" t="inlineStr">
        <is>
          <t>ON = auto-subtracted. Do not log these on Log — only day-to-day spends.</t>
        </is>
      </c>
    </row>
  </sheetData>
  <mergeCells count="1">
    <mergeCell ref="A42:G42"/>
  </mergeCells>
  <dataValidations count="3">
    <dataValidation sqref="E24:E50" showDropDown="0" showInputMessage="0" showErrorMessage="0" allowBlank="1" type="list">
      <formula1>"Y,N"</formula1>
    </dataValidation>
    <dataValidation sqref="C24:C50" showDropDown="0" showInputMessage="0" showErrorMessage="0" allowBlank="1" type="list">
      <formula1>Lists!$E$1:$E$5</formula1>
    </dataValidation>
    <dataValidation sqref="G24:G50" showDropDown="0" showInputMessage="0" showErrorMessage="0" allowBlank="1" type="list">
      <formula1>Lists!$A$1:$A$15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20" customWidth="1" min="1" max="1"/>
    <col width="14" customWidth="1" min="2" max="2"/>
    <col width="14" customWidth="1" min="3" max="3"/>
  </cols>
  <sheetData>
    <row r="1">
      <c r="A1" s="1" t="inlineStr">
        <is>
          <t>MONEY</t>
        </is>
      </c>
    </row>
    <row r="2" ht="28" customHeight="1">
      <c r="A2" s="2" t="inlineStr">
        <is>
          <t>Balances</t>
        </is>
      </c>
    </row>
    <row r="3">
      <c r="A3" s="3" t="inlineStr">
        <is>
          <t>Update when you check the bank. Cards: amount owed in OWE.</t>
        </is>
      </c>
    </row>
    <row r="4">
      <c r="A4" s="8" t="inlineStr">
        <is>
          <t>ACCOUNT</t>
        </is>
      </c>
      <c r="B4" s="8" t="inlineStr">
        <is>
          <t>HAVE</t>
        </is>
      </c>
      <c r="C4" s="8" t="inlineStr">
        <is>
          <t>OWE</t>
        </is>
      </c>
    </row>
    <row r="5">
      <c r="A5" s="9" t="inlineStr">
        <is>
          <t>Checking</t>
        </is>
      </c>
      <c r="B5" s="27" t="n">
        <v>0</v>
      </c>
      <c r="C5" s="27" t="n">
        <v>0</v>
      </c>
    </row>
    <row r="6">
      <c r="A6" s="9" t="inlineStr">
        <is>
          <t>Bilt</t>
        </is>
      </c>
      <c r="B6" s="27" t="n">
        <v>0</v>
      </c>
      <c r="C6" s="27" t="n">
        <v>328.5</v>
      </c>
    </row>
    <row r="7">
      <c r="A7" s="9" t="inlineStr">
        <is>
          <t>Apple Card</t>
        </is>
      </c>
      <c r="B7" s="27" t="n">
        <v>0</v>
      </c>
      <c r="C7" s="27" t="n">
        <v>0</v>
      </c>
    </row>
    <row r="8">
      <c r="A8" s="9" t="inlineStr">
        <is>
          <t>USAA Credit Card</t>
        </is>
      </c>
      <c r="B8" s="27" t="n">
        <v>0</v>
      </c>
      <c r="C8" s="27" t="n">
        <v>0</v>
      </c>
    </row>
    <row r="9">
      <c r="A9" s="9" t="inlineStr">
        <is>
          <t>PayPal</t>
        </is>
      </c>
      <c r="B9" s="27" t="n">
        <v>0</v>
      </c>
      <c r="C9" s="27" t="n">
        <v>0</v>
      </c>
    </row>
    <row r="10">
      <c r="A10" s="9" t="inlineStr">
        <is>
          <t>Klarna</t>
        </is>
      </c>
      <c r="B10" s="27" t="n">
        <v>0</v>
      </c>
      <c r="C10" s="27" t="n">
        <v>0</v>
      </c>
    </row>
    <row r="11">
      <c r="A11" s="9" t="inlineStr">
        <is>
          <t>Ally Savings</t>
        </is>
      </c>
      <c r="B11" s="27" t="n">
        <v>8525.549999999999</v>
      </c>
      <c r="C11" s="27" t="n">
        <v>0</v>
      </c>
    </row>
    <row r="12">
      <c r="A12" s="9" t="inlineStr">
        <is>
          <t>Cash</t>
        </is>
      </c>
      <c r="B12" s="27" t="n">
        <v>0</v>
      </c>
      <c r="C12" s="27" t="n">
        <v>0</v>
      </c>
    </row>
    <row r="13">
      <c r="A13" s="9" t="inlineStr">
        <is>
          <t>Other</t>
        </is>
      </c>
      <c r="B13" s="27" t="n">
        <v>0</v>
      </c>
      <c r="C13" s="27" t="n">
        <v>0</v>
      </c>
    </row>
    <row r="15">
      <c r="A15" s="4" t="inlineStr">
        <is>
          <t>OWED TOTAL</t>
        </is>
      </c>
      <c r="B15" s="28">
        <f>SUM(C5:C13)</f>
        <v/>
      </c>
    </row>
    <row r="17">
      <c r="A17" s="4" t="inlineStr">
        <is>
          <t>CASH-LIKE</t>
        </is>
      </c>
      <c r="B17" s="14">
        <f>SUM(B5:B13)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Income</t>
        </is>
      </c>
      <c r="B1" t="inlineStr">
        <is>
          <t>Checking</t>
        </is>
      </c>
      <c r="C1" t="inlineStr">
        <is>
          <t>Roberto</t>
        </is>
      </c>
      <c r="D1" t="inlineStr">
        <is>
          <t>Expense</t>
        </is>
      </c>
      <c r="E1" t="inlineStr">
        <is>
          <t>Weekly</t>
        </is>
      </c>
    </row>
    <row r="2">
      <c r="A2" t="inlineStr">
        <is>
          <t>Rent</t>
        </is>
      </c>
      <c r="B2" t="inlineStr">
        <is>
          <t>Bilt</t>
        </is>
      </c>
      <c r="C2" t="inlineStr">
        <is>
          <t>Cliff</t>
        </is>
      </c>
      <c r="D2" t="inlineStr">
        <is>
          <t>Income</t>
        </is>
      </c>
      <c r="E2" t="inlineStr">
        <is>
          <t>Biweekly</t>
        </is>
      </c>
    </row>
    <row r="3">
      <c r="A3" t="inlineStr">
        <is>
          <t>Utilities</t>
        </is>
      </c>
      <c r="B3" t="inlineStr">
        <is>
          <t>Apple Card</t>
        </is>
      </c>
      <c r="C3" t="inlineStr">
        <is>
          <t>Cliff/Roberto</t>
        </is>
      </c>
      <c r="D3" t="inlineStr">
        <is>
          <t>Transfer</t>
        </is>
      </c>
      <c r="E3" t="inlineStr">
        <is>
          <t>Monthly</t>
        </is>
      </c>
    </row>
    <row r="4">
      <c r="A4" t="inlineStr">
        <is>
          <t>Subscriptions</t>
        </is>
      </c>
      <c r="B4" t="inlineStr">
        <is>
          <t>USAA Credit Card</t>
        </is>
      </c>
      <c r="C4" t="inlineStr">
        <is>
          <t>Shared</t>
        </is>
      </c>
      <c r="E4" t="inlineStr">
        <is>
          <t>Quarterly</t>
        </is>
      </c>
    </row>
    <row r="5">
      <c r="A5" t="inlineStr">
        <is>
          <t>Grocery</t>
        </is>
      </c>
      <c r="B5" t="inlineStr">
        <is>
          <t>PayPal</t>
        </is>
      </c>
      <c r="C5" t="inlineStr">
        <is>
          <t>Other</t>
        </is>
      </c>
      <c r="E5" t="inlineStr">
        <is>
          <t>Annually</t>
        </is>
      </c>
    </row>
    <row r="6">
      <c r="A6" t="inlineStr">
        <is>
          <t>Dining</t>
        </is>
      </c>
      <c r="B6" t="inlineStr">
        <is>
          <t>Klarna</t>
        </is>
      </c>
    </row>
    <row r="7">
      <c r="A7" t="inlineStr">
        <is>
          <t>Transit</t>
        </is>
      </c>
      <c r="B7" t="inlineStr">
        <is>
          <t>Ally Savings</t>
        </is>
      </c>
    </row>
    <row r="8">
      <c r="A8" t="inlineStr">
        <is>
          <t>Shopping</t>
        </is>
      </c>
      <c r="B8" t="inlineStr">
        <is>
          <t>Cash</t>
        </is>
      </c>
    </row>
    <row r="9">
      <c r="A9" t="inlineStr">
        <is>
          <t>Personal</t>
        </is>
      </c>
      <c r="B9" t="inlineStr">
        <is>
          <t>Other</t>
        </is>
      </c>
    </row>
    <row r="10">
      <c r="A10" t="inlineStr">
        <is>
          <t>Home</t>
        </is>
      </c>
    </row>
    <row r="11">
      <c r="A11" t="inlineStr">
        <is>
          <t>Health</t>
        </is>
      </c>
    </row>
    <row r="12">
      <c r="A12" t="inlineStr">
        <is>
          <t>Entertainment</t>
        </is>
      </c>
    </row>
    <row r="13">
      <c r="A13" t="inlineStr">
        <is>
          <t>Savings</t>
        </is>
      </c>
    </row>
    <row r="14">
      <c r="A14" t="inlineStr">
        <is>
          <t>Transfer</t>
        </is>
      </c>
    </row>
    <row r="15">
      <c r="A15" t="inlineStr">
        <is>
          <t>Misc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2026-07-25T20:48:25Z</dcterms:created>
  <dcterms:modified xsi:type="dcterms:W3CDTF">2026-07-25T20:48:25Z</dcterms:modified>
</cp:coreProperties>
</file>