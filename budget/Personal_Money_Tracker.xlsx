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sheetId="1" state="visible" r:id="rId1"/>
    <sheet name="Log" sheetId="2" state="visible" r:id="rId2"/>
    <sheet name="Dashboard" sheetId="3" state="visible" r:id="rId3"/>
    <sheet name="Budget" sheetId="4" state="visible" r:id="rId4"/>
    <sheet name="Income Plan" sheetId="5" state="visible" r:id="rId5"/>
    <sheet name="Recurring" sheetId="6" state="visible" r:id="rId6"/>
    <sheet name="Accounts" sheetId="7" state="visible" r:id="rId7"/>
    <sheet name="Investments" sheetId="8" state="visible" r:id="rId8"/>
    <sheet name="Wishlist" sheetId="9" state="visible" r:id="rId9"/>
    <sheet name="Setup" sheetId="10" state="hidden" r:id="rId10"/>
  </sheets>
  <definedNames>
    <definedName name="_xlnm._FilterDatabase" localSheetId="1" hidden="1">'Log'!$A$4:$H$305</definedName>
  </definedNames>
  <calcPr calcId="124519" fullCalcOnLoad="1"/>
</workbook>
</file>

<file path=xl/styles.xml><?xml version="1.0" encoding="utf-8"?>
<styleSheet xmlns="http://schemas.openxmlformats.org/spreadsheetml/2006/main">
  <numFmts count="5">
    <numFmt numFmtId="164" formatCode="YYYY-MM-DD"/>
    <numFmt numFmtId="165" formatCode="&quot;$&quot;#,##0.00"/>
    <numFmt numFmtId="166" formatCode="yyyy-mm-dd"/>
    <numFmt numFmtId="167" formatCode="MMM D, YYYY"/>
    <numFmt numFmtId="168" formatCode="0.0%"/>
  </numFmts>
  <fonts count="16">
    <font>
      <name val="Calibri"/>
      <family val="2"/>
      <color theme="1"/>
      <sz val="11"/>
      <scheme val="minor"/>
    </font>
    <font>
      <name val="Calibri"/>
      <b val="1"/>
      <color rgb="001F2937"/>
      <sz val="18"/>
    </font>
    <font>
      <name val="Calibri"/>
      <color rgb="0064748B"/>
      <sz val="10"/>
    </font>
    <font>
      <name val="Calibri"/>
      <b val="1"/>
      <color rgb="00FFFFFF"/>
      <sz val="11"/>
    </font>
    <font>
      <name val="Calibri"/>
      <color rgb="00111827"/>
      <sz val="11"/>
    </font>
    <font>
      <name val="Calibri"/>
      <b val="1"/>
      <color rgb="00475569"/>
      <sz val="10"/>
    </font>
    <font>
      <name val="Calibri"/>
      <b val="1"/>
      <sz val="14"/>
    </font>
    <font>
      <name val="Calibri"/>
      <b val="1"/>
      <color rgb="000F766E"/>
      <sz val="22"/>
    </font>
    <font>
      <name val="Calibri"/>
      <b val="1"/>
      <color rgb="000F766E"/>
      <sz val="18"/>
    </font>
    <font>
      <name val="Calibri"/>
      <b val="1"/>
      <color rgb="000F766E"/>
      <sz val="13"/>
    </font>
    <font>
      <name val="Calibri"/>
      <b val="1"/>
    </font>
    <font>
      <name val="Calibri"/>
      <b val="1"/>
      <color rgb="00B45309"/>
      <sz val="14"/>
    </font>
    <font>
      <b val="1"/>
    </font>
    <font>
      <b val="1"/>
      <color rgb="00B45309"/>
    </font>
    <font>
      <b val="1"/>
      <color rgb="000F766E"/>
    </font>
    <font>
      <name val="Calibri"/>
      <b val="1"/>
      <color rgb="000F766E"/>
      <sz val="11"/>
    </font>
  </fonts>
  <fills count="9">
    <fill>
      <patternFill/>
    </fill>
    <fill>
      <patternFill patternType="gray125"/>
    </fill>
    <fill>
      <patternFill patternType="solid">
        <fgColor rgb="001F2937"/>
      </patternFill>
    </fill>
    <fill>
      <patternFill patternType="solid">
        <fgColor rgb="00FFFBEB"/>
      </patternFill>
    </fill>
    <fill>
      <patternFill patternType="solid">
        <fgColor rgb="00F8FAFC"/>
      </patternFill>
    </fill>
    <fill>
      <patternFill patternType="solid">
        <fgColor rgb="00ECFDF5"/>
      </patternFill>
    </fill>
    <fill>
      <patternFill patternType="solid">
        <fgColor rgb="00F0FDFA"/>
      </patternFill>
    </fill>
    <fill>
      <patternFill patternType="solid">
        <fgColor rgb="00D1FAE5"/>
      </patternFill>
    </fill>
    <fill>
      <patternFill patternType="solid">
        <fgColor rgb="000F766E"/>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43">
    <xf numFmtId="0" fontId="0" fillId="0" borderId="0" pivotButton="0" quotePrefix="0" xfId="0"/>
    <xf numFmtId="0" fontId="1" fillId="0" borderId="0" pivotButton="0" quotePrefix="0" xfId="0"/>
    <xf numFmtId="0" fontId="3" fillId="2" borderId="0" pivotButton="0" quotePrefix="0" xfId="0"/>
    <xf numFmtId="0" fontId="15" fillId="0" borderId="1" pivotButton="0" quotePrefix="0" xfId="0"/>
    <xf numFmtId="0" fontId="4" fillId="0" borderId="1"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164" fontId="4" fillId="3" borderId="1" pivotButton="0" quotePrefix="0" xfId="0"/>
    <xf numFmtId="0" fontId="4" fillId="3" borderId="1" pivotButton="0" quotePrefix="0" xfId="0"/>
    <xf numFmtId="165" fontId="4" fillId="3" borderId="1" pivotButton="0" quotePrefix="0" xfId="0"/>
    <xf numFmtId="164" fontId="4" fillId="0" borderId="1" pivotButton="0" quotePrefix="0" xfId="0"/>
    <xf numFmtId="0" fontId="4" fillId="0" borderId="1" pivotButton="0" quotePrefix="0" xfId="0"/>
    <xf numFmtId="165" fontId="4" fillId="0" borderId="1" pivotButton="0" quotePrefix="0" xfId="0"/>
    <xf numFmtId="164" fontId="4" fillId="4" borderId="1" pivotButton="0" quotePrefix="0" xfId="0"/>
    <xf numFmtId="0" fontId="4" fillId="4" borderId="1" pivotButton="0" quotePrefix="0" xfId="0"/>
    <xf numFmtId="165" fontId="4" fillId="4" borderId="1" pivotButton="0" quotePrefix="0" xfId="0"/>
    <xf numFmtId="164" fontId="0" fillId="0" borderId="1" pivotButton="0" quotePrefix="0" xfId="0"/>
    <xf numFmtId="0" fontId="0" fillId="0" borderId="1" pivotButton="0" quotePrefix="0" xfId="0"/>
    <xf numFmtId="165" fontId="0" fillId="0" borderId="1" pivotButton="0" quotePrefix="0" xfId="0"/>
    <xf numFmtId="0" fontId="5" fillId="0" borderId="0" pivotButton="0" quotePrefix="0" xfId="0"/>
    <xf numFmtId="0" fontId="6" fillId="3" borderId="1" pivotButton="0" quotePrefix="0" xfId="0"/>
    <xf numFmtId="0" fontId="9" fillId="0" borderId="0" pivotButton="0" quotePrefix="0" xfId="0"/>
    <xf numFmtId="167" fontId="0" fillId="0" borderId="0" pivotButton="0" quotePrefix="0" xfId="0"/>
    <xf numFmtId="165" fontId="7" fillId="5" borderId="0" pivotButton="0" quotePrefix="0" xfId="0"/>
    <xf numFmtId="165" fontId="7" fillId="6" borderId="0" pivotButton="0" quotePrefix="0" xfId="0"/>
    <xf numFmtId="165" fontId="7" fillId="7" borderId="0" pivotButton="0" quotePrefix="0" xfId="0"/>
    <xf numFmtId="165" fontId="8" fillId="3" borderId="0" pivotButton="0" quotePrefix="0" xfId="0"/>
    <xf numFmtId="0" fontId="3" fillId="8" borderId="0" pivotButton="0" quotePrefix="0" xfId="0"/>
    <xf numFmtId="9" fontId="0" fillId="0" borderId="1" pivotButton="0" quotePrefix="0" xfId="0"/>
    <xf numFmtId="165" fontId="11" fillId="0" borderId="0" pivotButton="0" quotePrefix="0" xfId="0"/>
    <xf numFmtId="0" fontId="10" fillId="6" borderId="0" pivotButton="0" quotePrefix="0" xfId="0"/>
    <xf numFmtId="165" fontId="10" fillId="6" borderId="0" pivotButton="0" quotePrefix="0" xfId="0"/>
    <xf numFmtId="165" fontId="0" fillId="3" borderId="1" pivotButton="0" quotePrefix="0" xfId="0"/>
    <xf numFmtId="0" fontId="2" fillId="0" borderId="1" pivotButton="0" quotePrefix="0" xfId="0"/>
    <xf numFmtId="0" fontId="12" fillId="0" borderId="0" pivotButton="0" quotePrefix="0" xfId="0"/>
    <xf numFmtId="165" fontId="12" fillId="0" borderId="0" pivotButton="0" quotePrefix="0" xfId="0"/>
    <xf numFmtId="165" fontId="7" fillId="0" borderId="0" pivotButton="0" quotePrefix="0" xfId="0"/>
    <xf numFmtId="165" fontId="0" fillId="0" borderId="0" pivotButton="0" quotePrefix="0" xfId="0"/>
    <xf numFmtId="0" fontId="0" fillId="3" borderId="1" pivotButton="0" quotePrefix="0" xfId="0"/>
    <xf numFmtId="164" fontId="0" fillId="3" borderId="1" pivotButton="0" quotePrefix="0" xfId="0"/>
    <xf numFmtId="165" fontId="13" fillId="0" borderId="0" pivotButton="0" quotePrefix="0" xfId="0"/>
    <xf numFmtId="165" fontId="14" fillId="0" borderId="0" pivotButton="0" quotePrefix="0" xfId="0"/>
    <xf numFmtId="168" fontId="0" fillId="0" borderId="0" pivotButton="0" quotePrefix="0" xfId="0"/>
  </cellXfs>
  <cellStyles count="1">
    <cellStyle name="Normal" xfId="0" builtinId="0" hidden="0"/>
  </cellStyles>
  <dxfs count="3">
    <dxf>
      <fill>
        <patternFill patternType="solid">
          <fgColor rgb="00FEE2E2"/>
        </patternFill>
      </fill>
    </dxf>
    <dxf>
      <fill>
        <patternFill patternType="solid">
          <fgColor rgb="00FEF3C7"/>
        </patternFill>
      </fill>
    </dxf>
    <dxf>
      <fill>
        <patternFill patternType="solid">
          <fgColor rgb="00D1FAE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92" customWidth="1" min="2" max="2"/>
  </cols>
  <sheetData>
    <row r="1">
      <c r="A1" s="1" t="inlineStr">
        <is>
          <t>HOW TO USE THIS WORKBOOK</t>
        </is>
      </c>
    </row>
    <row r="3">
      <c r="A3" s="2" t="inlineStr">
        <is>
          <t>Topic</t>
        </is>
      </c>
      <c r="B3" s="2" t="inlineStr">
        <is>
          <t>What to do</t>
        </is>
      </c>
    </row>
    <row r="4" ht="58" customHeight="1">
      <c r="A4" s="3" t="inlineStr">
        <is>
          <t>Phone vs spreadsheet</t>
        </is>
      </c>
      <c r="B4" s="4" t="inlineStr">
        <is>
          <t>This IS a spreadsheet — that is what you want for lasting data. For phone: upload this file to Google Drive and open it in the Google Sheets app. Use the Log tab to add spends. No separate website needed.</t>
        </is>
      </c>
    </row>
    <row r="5" ht="58" customHeight="1">
      <c r="A5" s="3" t="inlineStr">
        <is>
          <t>Daily (30 sec)</t>
        </is>
      </c>
      <c r="B5" s="4" t="inlineStr">
        <is>
          <t>Open Log → fill a yellow row at the top: Date, Description, Amount, Category, Account. Type defaults to Expense. Person defaults to Roberto.</t>
        </is>
      </c>
    </row>
    <row r="6" ht="58" customHeight="1">
      <c r="A6" s="3" t="inlineStr">
        <is>
          <t>What’s left</t>
        </is>
      </c>
      <c r="B6" s="4" t="inlineStr">
        <is>
          <t>Open Dashboard → set Year + Month. “PLANNED LEFT” = Income Plan total minus expenses logged this month. Category rows show OK / CLOSE / OVER vs Budget.</t>
        </is>
      </c>
    </row>
    <row r="7" ht="58" customHeight="1">
      <c r="A7" s="3" t="inlineStr">
        <is>
          <t>Paychecks</t>
        </is>
      </c>
      <c r="B7" s="4" t="inlineStr">
        <is>
          <t>Log them as Type=Income, Category=Income. Keep normal amounts on Income Plan.</t>
        </is>
      </c>
    </row>
    <row r="8" ht="58" customHeight="1">
      <c r="A8" s="3" t="inlineStr">
        <is>
          <t>Rent &amp; subs</t>
        </is>
      </c>
      <c r="B8" s="4" t="inlineStr">
        <is>
          <t>Recurring is your checklist. When charged, log once on Log so Dashboard counts it.</t>
        </is>
      </c>
    </row>
    <row r="9" ht="58" customHeight="1">
      <c r="A9" s="3" t="inlineStr">
        <is>
          <t>Accounts</t>
        </is>
      </c>
      <c r="B9" s="4" t="inlineStr">
        <is>
          <t>Update balances on Accounts when you check the bank/app. Cards: put amount owed in Owed.</t>
        </is>
      </c>
    </row>
    <row r="10" ht="58" customHeight="1">
      <c r="A10" s="3" t="inlineStr">
        <is>
          <t>Never again</t>
        </is>
      </c>
      <c r="B10" s="4" t="inlineStr">
        <is>
          <t>Do not make a new sheet per month. Do not copy budget blocks. Filter Log or flip Dashboard month instead.</t>
        </is>
      </c>
    </row>
    <row r="11" ht="58" customHeight="1">
      <c r="A11" s="3" t="inlineStr">
        <is>
          <t>Imported history</t>
        </is>
      </c>
      <c r="B11" s="4" t="inlineStr">
        <is>
          <t>Misc + Grocery from your old file are in Log (including the weird April/May layouts). Spot-check a few rows and fix Category if needed.</t>
        </is>
      </c>
    </row>
    <row r="12" ht="58" customHeight="1">
      <c r="A12" s="3" t="inlineStr">
        <is>
          <t>First setup</t>
        </is>
      </c>
      <c r="B12" s="4" t="inlineStr">
        <is>
          <t>1) Update account balances 2) Tweak Budget numbers 3) Confirm paycheck amounts 4) Log today.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5"/>
  <sheetViews>
    <sheetView workbookViewId="0">
      <pane ySplit="4" topLeftCell="A5" activePane="bottomLeft" state="frozen"/>
      <selection pane="bottomLeft" activeCell="A1" sqref="A1"/>
    </sheetView>
  </sheetViews>
  <sheetFormatPr baseColWidth="8" defaultRowHeight="15"/>
  <cols>
    <col width="12" customWidth="1" min="1" max="1"/>
    <col width="32" customWidth="1" min="2" max="2"/>
    <col width="11" customWidth="1" min="3" max="3"/>
    <col width="10" customWidth="1" min="4" max="4"/>
    <col width="14" customWidth="1" min="5" max="5"/>
    <col width="16" customWidth="1" min="6" max="6"/>
    <col width="14" customWidth="1" min="7" max="7"/>
    <col width="42" customWidth="1" min="8" max="8"/>
  </cols>
  <sheetData>
    <row r="1">
      <c r="A1" s="1" t="inlineStr">
        <is>
          <t>PERSONAL MONEY LOG</t>
        </is>
      </c>
    </row>
    <row r="2">
      <c r="A2" s="5" t="inlineStr">
        <is>
          <t>Yellow rows at top = quick entry. Amounts are positive. Type = Expense / Income / Transfer. Dropdowns on Category, Account, Person.</t>
        </is>
      </c>
    </row>
    <row r="4">
      <c r="A4" s="6" t="inlineStr">
        <is>
          <t>Date</t>
        </is>
      </c>
      <c r="B4" s="6" t="inlineStr">
        <is>
          <t>Description</t>
        </is>
      </c>
      <c r="C4" s="6" t="inlineStr">
        <is>
          <t>Amount</t>
        </is>
      </c>
      <c r="D4" s="6" t="inlineStr">
        <is>
          <t>Type</t>
        </is>
      </c>
      <c r="E4" s="6" t="inlineStr">
        <is>
          <t>Category</t>
        </is>
      </c>
      <c r="F4" s="6" t="inlineStr">
        <is>
          <t>Account</t>
        </is>
      </c>
      <c r="G4" s="6" t="inlineStr">
        <is>
          <t>Person</t>
        </is>
      </c>
      <c r="H4" s="6" t="inlineStr">
        <is>
          <t>Notes</t>
        </is>
      </c>
    </row>
    <row r="5">
      <c r="A5" s="7" t="n"/>
      <c r="B5" s="8" t="n"/>
      <c r="C5" s="9" t="n"/>
      <c r="D5" s="8" t="inlineStr">
        <is>
          <t>Expense</t>
        </is>
      </c>
      <c r="E5" s="8" t="n"/>
      <c r="F5" s="8" t="inlineStr">
        <is>
          <t>Checking</t>
        </is>
      </c>
      <c r="G5" s="8" t="inlineStr">
        <is>
          <t>Roberto</t>
        </is>
      </c>
      <c r="H5" s="8" t="n"/>
    </row>
    <row r="6">
      <c r="A6" s="7" t="n"/>
      <c r="B6" s="8" t="n"/>
      <c r="C6" s="9" t="n"/>
      <c r="D6" s="8" t="inlineStr">
        <is>
          <t>Expense</t>
        </is>
      </c>
      <c r="E6" s="8" t="n"/>
      <c r="F6" s="8" t="inlineStr">
        <is>
          <t>Checking</t>
        </is>
      </c>
      <c r="G6" s="8" t="inlineStr">
        <is>
          <t>Roberto</t>
        </is>
      </c>
      <c r="H6" s="8" t="n"/>
    </row>
    <row r="7">
      <c r="A7" s="7" t="n"/>
      <c r="B7" s="8" t="n"/>
      <c r="C7" s="9" t="n"/>
      <c r="D7" s="8" t="inlineStr">
        <is>
          <t>Expense</t>
        </is>
      </c>
      <c r="E7" s="8" t="n"/>
      <c r="F7" s="8" t="inlineStr">
        <is>
          <t>Checking</t>
        </is>
      </c>
      <c r="G7" s="8" t="inlineStr">
        <is>
          <t>Roberto</t>
        </is>
      </c>
      <c r="H7" s="8" t="n"/>
    </row>
    <row r="8">
      <c r="A8" s="7" t="n"/>
      <c r="B8" s="8" t="n"/>
      <c r="C8" s="9" t="n"/>
      <c r="D8" s="8" t="inlineStr">
        <is>
          <t>Expense</t>
        </is>
      </c>
      <c r="E8" s="8" t="n"/>
      <c r="F8" s="8" t="inlineStr">
        <is>
          <t>Checking</t>
        </is>
      </c>
      <c r="G8" s="8" t="inlineStr">
        <is>
          <t>Roberto</t>
        </is>
      </c>
      <c r="H8" s="8" t="n"/>
    </row>
    <row r="9">
      <c r="A9" s="7" t="n"/>
      <c r="B9" s="8" t="n"/>
      <c r="C9" s="9" t="n"/>
      <c r="D9" s="8" t="inlineStr">
        <is>
          <t>Expense</t>
        </is>
      </c>
      <c r="E9" s="8" t="n"/>
      <c r="F9" s="8" t="inlineStr">
        <is>
          <t>Checking</t>
        </is>
      </c>
      <c r="G9" s="8" t="inlineStr">
        <is>
          <t>Roberto</t>
        </is>
      </c>
      <c r="H9" s="8" t="n"/>
    </row>
    <row r="10">
      <c r="A10" s="7" t="n"/>
      <c r="B10" s="8" t="n"/>
      <c r="C10" s="9" t="n"/>
      <c r="D10" s="8" t="inlineStr">
        <is>
          <t>Expense</t>
        </is>
      </c>
      <c r="E10" s="8" t="n"/>
      <c r="F10" s="8" t="inlineStr">
        <is>
          <t>Checking</t>
        </is>
      </c>
      <c r="G10" s="8" t="inlineStr">
        <is>
          <t>Roberto</t>
        </is>
      </c>
      <c r="H10" s="8" t="n"/>
    </row>
    <row r="11">
      <c r="A11" s="7" t="n"/>
      <c r="B11" s="8" t="n"/>
      <c r="C11" s="9" t="n"/>
      <c r="D11" s="8" t="inlineStr">
        <is>
          <t>Expense</t>
        </is>
      </c>
      <c r="E11" s="8" t="n"/>
      <c r="F11" s="8" t="inlineStr">
        <is>
          <t>Checking</t>
        </is>
      </c>
      <c r="G11" s="8" t="inlineStr">
        <is>
          <t>Roberto</t>
        </is>
      </c>
      <c r="H11" s="8" t="n"/>
    </row>
    <row r="12">
      <c r="A12" s="7" t="n"/>
      <c r="B12" s="8" t="n"/>
      <c r="C12" s="9" t="n"/>
      <c r="D12" s="8" t="inlineStr">
        <is>
          <t>Expense</t>
        </is>
      </c>
      <c r="E12" s="8" t="n"/>
      <c r="F12" s="8" t="inlineStr">
        <is>
          <t>Checking</t>
        </is>
      </c>
      <c r="G12" s="8" t="inlineStr">
        <is>
          <t>Roberto</t>
        </is>
      </c>
      <c r="H12" s="8" t="n"/>
    </row>
    <row r="13">
      <c r="A13" s="7" t="n"/>
      <c r="B13" s="8" t="n"/>
      <c r="C13" s="9" t="n"/>
      <c r="D13" s="8" t="inlineStr">
        <is>
          <t>Expense</t>
        </is>
      </c>
      <c r="E13" s="8" t="n"/>
      <c r="F13" s="8" t="inlineStr">
        <is>
          <t>Checking</t>
        </is>
      </c>
      <c r="G13" s="8" t="inlineStr">
        <is>
          <t>Roberto</t>
        </is>
      </c>
      <c r="H13" s="8" t="n"/>
    </row>
    <row r="14">
      <c r="A14" s="7" t="n"/>
      <c r="B14" s="8" t="n"/>
      <c r="C14" s="9" t="n"/>
      <c r="D14" s="8" t="inlineStr">
        <is>
          <t>Expense</t>
        </is>
      </c>
      <c r="E14" s="8" t="n"/>
      <c r="F14" s="8" t="inlineStr">
        <is>
          <t>Checking</t>
        </is>
      </c>
      <c r="G14" s="8" t="inlineStr">
        <is>
          <t>Roberto</t>
        </is>
      </c>
      <c r="H14" s="8" t="n"/>
    </row>
    <row r="15">
      <c r="A15" s="7" t="n"/>
      <c r="B15" s="8" t="n"/>
      <c r="C15" s="9" t="n"/>
      <c r="D15" s="8" t="inlineStr">
        <is>
          <t>Expense</t>
        </is>
      </c>
      <c r="E15" s="8" t="n"/>
      <c r="F15" s="8" t="inlineStr">
        <is>
          <t>Checking</t>
        </is>
      </c>
      <c r="G15" s="8" t="inlineStr">
        <is>
          <t>Roberto</t>
        </is>
      </c>
      <c r="H15" s="8" t="n"/>
    </row>
    <row r="16">
      <c r="A16" s="7" t="n"/>
      <c r="B16" s="8" t="n"/>
      <c r="C16" s="9" t="n"/>
      <c r="D16" s="8" t="inlineStr">
        <is>
          <t>Expense</t>
        </is>
      </c>
      <c r="E16" s="8" t="n"/>
      <c r="F16" s="8" t="inlineStr">
        <is>
          <t>Checking</t>
        </is>
      </c>
      <c r="G16" s="8" t="inlineStr">
        <is>
          <t>Roberto</t>
        </is>
      </c>
      <c r="H16" s="8" t="n"/>
    </row>
    <row r="17">
      <c r="A17" s="7" t="n"/>
      <c r="B17" s="8" t="n"/>
      <c r="C17" s="9" t="n"/>
      <c r="D17" s="8" t="inlineStr">
        <is>
          <t>Expense</t>
        </is>
      </c>
      <c r="E17" s="8" t="n"/>
      <c r="F17" s="8" t="inlineStr">
        <is>
          <t>Checking</t>
        </is>
      </c>
      <c r="G17" s="8" t="inlineStr">
        <is>
          <t>Roberto</t>
        </is>
      </c>
      <c r="H17" s="8" t="n"/>
    </row>
    <row r="18">
      <c r="A18" s="7" t="n"/>
      <c r="B18" s="8" t="n"/>
      <c r="C18" s="9" t="n"/>
      <c r="D18" s="8" t="inlineStr">
        <is>
          <t>Expense</t>
        </is>
      </c>
      <c r="E18" s="8" t="n"/>
      <c r="F18" s="8" t="inlineStr">
        <is>
          <t>Checking</t>
        </is>
      </c>
      <c r="G18" s="8" t="inlineStr">
        <is>
          <t>Roberto</t>
        </is>
      </c>
      <c r="H18" s="8" t="n"/>
    </row>
    <row r="19">
      <c r="A19" s="7" t="n"/>
      <c r="B19" s="8" t="n"/>
      <c r="C19" s="9" t="n"/>
      <c r="D19" s="8" t="inlineStr">
        <is>
          <t>Expense</t>
        </is>
      </c>
      <c r="E19" s="8" t="n"/>
      <c r="F19" s="8" t="inlineStr">
        <is>
          <t>Checking</t>
        </is>
      </c>
      <c r="G19" s="8" t="inlineStr">
        <is>
          <t>Roberto</t>
        </is>
      </c>
      <c r="H19" s="8" t="n"/>
    </row>
    <row r="20">
      <c r="A20" s="7" t="n"/>
      <c r="B20" s="8" t="n"/>
      <c r="C20" s="9" t="n"/>
      <c r="D20" s="8" t="inlineStr">
        <is>
          <t>Expense</t>
        </is>
      </c>
      <c r="E20" s="8" t="n"/>
      <c r="F20" s="8" t="inlineStr">
        <is>
          <t>Checking</t>
        </is>
      </c>
      <c r="G20" s="8" t="inlineStr">
        <is>
          <t>Roberto</t>
        </is>
      </c>
      <c r="H20" s="8" t="n"/>
    </row>
    <row r="21">
      <c r="A21" s="7" t="n"/>
      <c r="B21" s="8" t="n"/>
      <c r="C21" s="9" t="n"/>
      <c r="D21" s="8" t="inlineStr">
        <is>
          <t>Expense</t>
        </is>
      </c>
      <c r="E21" s="8" t="n"/>
      <c r="F21" s="8" t="inlineStr">
        <is>
          <t>Checking</t>
        </is>
      </c>
      <c r="G21" s="8" t="inlineStr">
        <is>
          <t>Roberto</t>
        </is>
      </c>
      <c r="H21" s="8" t="n"/>
    </row>
    <row r="22">
      <c r="A22" s="7" t="n"/>
      <c r="B22" s="8" t="n"/>
      <c r="C22" s="9" t="n"/>
      <c r="D22" s="8" t="inlineStr">
        <is>
          <t>Expense</t>
        </is>
      </c>
      <c r="E22" s="8" t="n"/>
      <c r="F22" s="8" t="inlineStr">
        <is>
          <t>Checking</t>
        </is>
      </c>
      <c r="G22" s="8" t="inlineStr">
        <is>
          <t>Roberto</t>
        </is>
      </c>
      <c r="H22" s="8" t="n"/>
    </row>
    <row r="23">
      <c r="A23" s="7" t="n"/>
      <c r="B23" s="8" t="n"/>
      <c r="C23" s="9" t="n"/>
      <c r="D23" s="8" t="inlineStr">
        <is>
          <t>Expense</t>
        </is>
      </c>
      <c r="E23" s="8" t="n"/>
      <c r="F23" s="8" t="inlineStr">
        <is>
          <t>Checking</t>
        </is>
      </c>
      <c r="G23" s="8" t="inlineStr">
        <is>
          <t>Roberto</t>
        </is>
      </c>
      <c r="H23" s="8" t="n"/>
    </row>
    <row r="24">
      <c r="A24" s="7" t="n"/>
      <c r="B24" s="8" t="n"/>
      <c r="C24" s="9" t="n"/>
      <c r="D24" s="8" t="inlineStr">
        <is>
          <t>Expense</t>
        </is>
      </c>
      <c r="E24" s="8" t="n"/>
      <c r="F24" s="8" t="inlineStr">
        <is>
          <t>Checking</t>
        </is>
      </c>
      <c r="G24" s="8" t="inlineStr">
        <is>
          <t>Roberto</t>
        </is>
      </c>
      <c r="H24" s="8" t="n"/>
    </row>
    <row r="25">
      <c r="A25" s="10" t="n">
        <v>46163</v>
      </c>
      <c r="B25" s="11" t="inlineStr">
        <is>
          <t>Cat food</t>
        </is>
      </c>
      <c r="C25" s="12" t="n">
        <v>43.4</v>
      </c>
      <c r="D25" s="11" t="inlineStr">
        <is>
          <t>Expense</t>
        </is>
      </c>
      <c r="E25" s="11" t="inlineStr">
        <is>
          <t>Grocery</t>
        </is>
      </c>
      <c r="F25" s="11" t="inlineStr">
        <is>
          <t>Bilt</t>
        </is>
      </c>
      <c r="G25" s="11" t="inlineStr"/>
      <c r="H25" s="11" t="inlineStr"/>
    </row>
    <row r="26">
      <c r="A26" s="13" t="n">
        <v>46163</v>
      </c>
      <c r="B26" s="14" t="inlineStr">
        <is>
          <t>Amazon: Protein Bars</t>
        </is>
      </c>
      <c r="C26" s="15" t="n">
        <v>14.99</v>
      </c>
      <c r="D26" s="14" t="inlineStr">
        <is>
          <t>Expense</t>
        </is>
      </c>
      <c r="E26" s="14" t="inlineStr">
        <is>
          <t>Shopping</t>
        </is>
      </c>
      <c r="F26" s="14" t="inlineStr">
        <is>
          <t>Bilt</t>
        </is>
      </c>
      <c r="G26" s="14" t="inlineStr"/>
      <c r="H26" s="14" t="inlineStr"/>
    </row>
    <row r="27">
      <c r="A27" s="10" t="n">
        <v>46163</v>
      </c>
      <c r="B27" s="11" t="inlineStr">
        <is>
          <t>Grocery: City Fresh</t>
        </is>
      </c>
      <c r="C27" s="12" t="n">
        <v>39.19</v>
      </c>
      <c r="D27" s="11" t="inlineStr">
        <is>
          <t>Expense</t>
        </is>
      </c>
      <c r="E27" s="11" t="inlineStr">
        <is>
          <t>Grocery</t>
        </is>
      </c>
      <c r="F27" s="11" t="inlineStr">
        <is>
          <t>Bilt</t>
        </is>
      </c>
      <c r="G27" s="11" t="inlineStr"/>
      <c r="H27" s="11" t="inlineStr"/>
    </row>
    <row r="28">
      <c r="A28" s="13" t="n">
        <v>46163</v>
      </c>
      <c r="B28" s="14" t="inlineStr">
        <is>
          <t>Amazon: Toothpast, Chlorophyll, Oil sprayer</t>
        </is>
      </c>
      <c r="C28" s="15" t="n">
        <v>51.01</v>
      </c>
      <c r="D28" s="14" t="inlineStr">
        <is>
          <t>Expense</t>
        </is>
      </c>
      <c r="E28" s="14" t="inlineStr">
        <is>
          <t>Shopping</t>
        </is>
      </c>
      <c r="F28" s="14" t="inlineStr">
        <is>
          <t>Bilt</t>
        </is>
      </c>
      <c r="G28" s="14" t="inlineStr"/>
      <c r="H28" s="14" t="inlineStr"/>
    </row>
    <row r="29">
      <c r="A29" s="10" t="n">
        <v>46163</v>
      </c>
      <c r="B29" s="11" t="inlineStr">
        <is>
          <t>Grocery: Green Valley</t>
        </is>
      </c>
      <c r="C29" s="12" t="n">
        <v>21.46</v>
      </c>
      <c r="D29" s="11" t="inlineStr">
        <is>
          <t>Expense</t>
        </is>
      </c>
      <c r="E29" s="11" t="inlineStr">
        <is>
          <t>Grocery</t>
        </is>
      </c>
      <c r="F29" s="11" t="inlineStr">
        <is>
          <t>Bilt</t>
        </is>
      </c>
      <c r="G29" s="11" t="inlineStr"/>
      <c r="H29" s="11" t="inlineStr"/>
    </row>
    <row r="30">
      <c r="A30" s="13" t="n">
        <v>46163</v>
      </c>
      <c r="B30" s="14" t="inlineStr">
        <is>
          <t>Rose Glycerin Spray</t>
        </is>
      </c>
      <c r="C30" s="15" t="n">
        <v>11.94</v>
      </c>
      <c r="D30" s="14" t="inlineStr">
        <is>
          <t>Expense</t>
        </is>
      </c>
      <c r="E30" s="14" t="inlineStr">
        <is>
          <t>Shopping</t>
        </is>
      </c>
      <c r="F30" s="14" t="inlineStr">
        <is>
          <t>Bilt</t>
        </is>
      </c>
      <c r="G30" s="14" t="inlineStr"/>
      <c r="H30" s="14" t="inlineStr"/>
    </row>
    <row r="31">
      <c r="A31" s="10" t="n">
        <v>46163</v>
      </c>
      <c r="B31" s="11" t="inlineStr">
        <is>
          <t>Grocery: DoorDash</t>
        </is>
      </c>
      <c r="C31" s="12" t="n">
        <v>86</v>
      </c>
      <c r="D31" s="11" t="inlineStr">
        <is>
          <t>Expense</t>
        </is>
      </c>
      <c r="E31" s="11" t="inlineStr">
        <is>
          <t>Grocery</t>
        </is>
      </c>
      <c r="F31" s="11" t="inlineStr">
        <is>
          <t>Bilt</t>
        </is>
      </c>
      <c r="G31" s="11" t="inlineStr"/>
      <c r="H31" s="11" t="inlineStr"/>
    </row>
    <row r="32">
      <c r="A32" s="13" t="n">
        <v>46163</v>
      </c>
      <c r="B32" s="14" t="inlineStr">
        <is>
          <t>Klarna</t>
        </is>
      </c>
      <c r="C32" s="15" t="n">
        <v>134.75</v>
      </c>
      <c r="D32" s="14" t="inlineStr">
        <is>
          <t>Expense</t>
        </is>
      </c>
      <c r="E32" s="14" t="inlineStr">
        <is>
          <t>Shopping</t>
        </is>
      </c>
      <c r="F32" s="14" t="inlineStr">
        <is>
          <t>Bilt</t>
        </is>
      </c>
      <c r="G32" s="14" t="inlineStr"/>
      <c r="H32" s="14" t="inlineStr"/>
    </row>
    <row r="33">
      <c r="A33" s="10" t="n">
        <v>46125</v>
      </c>
      <c r="B33" s="11" t="inlineStr">
        <is>
          <t>KLARNA*OVERSTOCK 041126</t>
        </is>
      </c>
      <c r="C33" s="12" t="n">
        <v>134.75</v>
      </c>
      <c r="D33" s="11" t="inlineStr">
        <is>
          <t>Expense</t>
        </is>
      </c>
      <c r="E33" s="11" t="inlineStr">
        <is>
          <t>Shopping</t>
        </is>
      </c>
      <c r="F33" s="11" t="inlineStr">
        <is>
          <t>Checking</t>
        </is>
      </c>
      <c r="G33" s="11" t="inlineStr"/>
      <c r="H33" s="11" t="inlineStr"/>
    </row>
    <row r="34">
      <c r="A34" s="13" t="n">
        <v>46125</v>
      </c>
      <c r="B34" s="14" t="inlineStr">
        <is>
          <t>SQ *MILK &amp; PULL (RDG 041126</t>
        </is>
      </c>
      <c r="C34" s="15" t="n">
        <v>6.8</v>
      </c>
      <c r="D34" s="14" t="inlineStr">
        <is>
          <t>Expense</t>
        </is>
      </c>
      <c r="E34" s="14" t="inlineStr">
        <is>
          <t>Dining</t>
        </is>
      </c>
      <c r="F34" s="14" t="inlineStr">
        <is>
          <t>Checking</t>
        </is>
      </c>
      <c r="G34" s="14" t="inlineStr"/>
      <c r="H34" s="14" t="inlineStr"/>
    </row>
    <row r="35">
      <c r="A35" s="10" t="n">
        <v>46125</v>
      </c>
      <c r="B35" s="11" t="inlineStr">
        <is>
          <t>CITY FRESH MARKET PL 041026</t>
        </is>
      </c>
      <c r="C35" s="12" t="n">
        <v>7.22</v>
      </c>
      <c r="D35" s="11" t="inlineStr">
        <is>
          <t>Expense</t>
        </is>
      </c>
      <c r="E35" s="11" t="inlineStr">
        <is>
          <t>Grocery</t>
        </is>
      </c>
      <c r="F35" s="11" t="inlineStr">
        <is>
          <t>Checking</t>
        </is>
      </c>
      <c r="G35" s="11" t="inlineStr"/>
      <c r="H35" s="11" t="inlineStr"/>
    </row>
    <row r="36">
      <c r="A36" s="13" t="n">
        <v>46125</v>
      </c>
      <c r="B36" s="14" t="inlineStr">
        <is>
          <t>BURGER KING #1898 041026</t>
        </is>
      </c>
      <c r="C36" s="15" t="n">
        <v>12.17</v>
      </c>
      <c r="D36" s="14" t="inlineStr">
        <is>
          <t>Expense</t>
        </is>
      </c>
      <c r="E36" s="14" t="inlineStr">
        <is>
          <t>Dining</t>
        </is>
      </c>
      <c r="F36" s="14" t="inlineStr">
        <is>
          <t>Checking</t>
        </is>
      </c>
      <c r="G36" s="14" t="inlineStr"/>
      <c r="H36" s="14" t="inlineStr"/>
    </row>
    <row r="37">
      <c r="A37" s="10" t="n">
        <v>46120</v>
      </c>
      <c r="B37" s="11" t="inlineStr">
        <is>
          <t>National Grid</t>
        </is>
      </c>
      <c r="C37" s="12" t="n">
        <v>33.83</v>
      </c>
      <c r="D37" s="11" t="inlineStr">
        <is>
          <t>Expense</t>
        </is>
      </c>
      <c r="E37" s="11" t="inlineStr">
        <is>
          <t>Utilities</t>
        </is>
      </c>
      <c r="F37" s="11" t="inlineStr">
        <is>
          <t>Checking</t>
        </is>
      </c>
      <c r="G37" s="11" t="inlineStr"/>
      <c r="H37" s="11" t="inlineStr"/>
    </row>
    <row r="38">
      <c r="A38" s="13" t="n">
        <v>46119</v>
      </c>
      <c r="B38" s="14" t="inlineStr">
        <is>
          <t>Old Mill Cafe</t>
        </is>
      </c>
      <c r="C38" s="15" t="n">
        <v>8.380000000000001</v>
      </c>
      <c r="D38" s="14" t="inlineStr">
        <is>
          <t>Expense</t>
        </is>
      </c>
      <c r="E38" s="14" t="inlineStr">
        <is>
          <t>Dining</t>
        </is>
      </c>
      <c r="F38" s="14" t="inlineStr">
        <is>
          <t>Checking</t>
        </is>
      </c>
      <c r="G38" s="14" t="inlineStr"/>
      <c r="H38" s="14" t="inlineStr"/>
    </row>
    <row r="39">
      <c r="A39" s="10" t="n">
        <v>46119</v>
      </c>
      <c r="B39" s="11" t="inlineStr">
        <is>
          <t>Con Edison</t>
        </is>
      </c>
      <c r="C39" s="12" t="n">
        <v>106.18</v>
      </c>
      <c r="D39" s="11" t="inlineStr">
        <is>
          <t>Expense</t>
        </is>
      </c>
      <c r="E39" s="11" t="inlineStr">
        <is>
          <t>Utilities</t>
        </is>
      </c>
      <c r="F39" s="11" t="inlineStr">
        <is>
          <t>Checking</t>
        </is>
      </c>
      <c r="G39" s="11" t="inlineStr"/>
      <c r="H39" s="11" t="inlineStr"/>
    </row>
    <row r="40">
      <c r="A40" s="13" t="n">
        <v>46118</v>
      </c>
      <c r="B40" s="14" t="inlineStr">
        <is>
          <t>Google cloud</t>
        </is>
      </c>
      <c r="C40" s="15" t="n">
        <v>82.20999999999999</v>
      </c>
      <c r="D40" s="14" t="inlineStr">
        <is>
          <t>Expense</t>
        </is>
      </c>
      <c r="E40" s="14" t="inlineStr">
        <is>
          <t>Subscriptions</t>
        </is>
      </c>
      <c r="F40" s="14" t="inlineStr">
        <is>
          <t>Checking</t>
        </is>
      </c>
      <c r="G40" s="14" t="inlineStr"/>
      <c r="H40" s="14" t="inlineStr"/>
    </row>
    <row r="41">
      <c r="A41" s="10" t="n">
        <v>46118</v>
      </c>
      <c r="B41" s="11" t="inlineStr">
        <is>
          <t>Club entrance</t>
        </is>
      </c>
      <c r="C41" s="12" t="n">
        <v>20</v>
      </c>
      <c r="D41" s="11" t="inlineStr">
        <is>
          <t>Expense</t>
        </is>
      </c>
      <c r="E41" s="11" t="inlineStr">
        <is>
          <t>Entertainment</t>
        </is>
      </c>
      <c r="F41" s="11" t="inlineStr">
        <is>
          <t>Checking</t>
        </is>
      </c>
      <c r="G41" s="11" t="inlineStr"/>
      <c r="H41" s="11" t="inlineStr"/>
    </row>
    <row r="42">
      <c r="A42" s="13" t="n">
        <v>46118</v>
      </c>
      <c r="B42" s="14" t="inlineStr">
        <is>
          <t>Uber</t>
        </is>
      </c>
      <c r="C42" s="15" t="n">
        <v>17.94</v>
      </c>
      <c r="D42" s="14" t="inlineStr">
        <is>
          <t>Expense</t>
        </is>
      </c>
      <c r="E42" s="14" t="inlineStr">
        <is>
          <t>Transit</t>
        </is>
      </c>
      <c r="F42" s="14" t="inlineStr">
        <is>
          <t>Checking</t>
        </is>
      </c>
      <c r="G42" s="14" t="inlineStr"/>
      <c r="H42" s="14" t="inlineStr"/>
    </row>
    <row r="43">
      <c r="A43" s="10" t="n">
        <v>46118</v>
      </c>
      <c r="B43" s="11" t="inlineStr">
        <is>
          <t>Wilson Express</t>
        </is>
      </c>
      <c r="C43" s="12" t="n">
        <v>14.04</v>
      </c>
      <c r="D43" s="11" t="inlineStr">
        <is>
          <t>Expense</t>
        </is>
      </c>
      <c r="E43" s="11" t="inlineStr">
        <is>
          <t>Dining</t>
        </is>
      </c>
      <c r="F43" s="11" t="inlineStr">
        <is>
          <t>Checking</t>
        </is>
      </c>
      <c r="G43" s="11" t="inlineStr"/>
      <c r="H43" s="11" t="inlineStr"/>
    </row>
    <row r="44">
      <c r="A44" s="13" t="n">
        <v>46118</v>
      </c>
      <c r="B44" s="14" t="inlineStr">
        <is>
          <t>Transfer from Venmo</t>
        </is>
      </c>
      <c r="C44" s="15" t="n">
        <v>38.57</v>
      </c>
      <c r="D44" s="14" t="inlineStr">
        <is>
          <t>Transfer</t>
        </is>
      </c>
      <c r="E44" s="14" t="inlineStr">
        <is>
          <t>Transfer</t>
        </is>
      </c>
      <c r="F44" s="14" t="inlineStr">
        <is>
          <t>Checking</t>
        </is>
      </c>
      <c r="G44" s="14" t="inlineStr"/>
      <c r="H44" s="14" t="inlineStr"/>
    </row>
    <row r="45">
      <c r="A45" s="10" t="n">
        <v>46115</v>
      </c>
      <c r="B45" s="11" t="inlineStr">
        <is>
          <t>bodega</t>
        </is>
      </c>
      <c r="C45" s="12" t="n">
        <v>7.8</v>
      </c>
      <c r="D45" s="11" t="inlineStr">
        <is>
          <t>Expense</t>
        </is>
      </c>
      <c r="E45" s="11" t="inlineStr">
        <is>
          <t>Dining</t>
        </is>
      </c>
      <c r="F45" s="11" t="inlineStr">
        <is>
          <t>Bilt</t>
        </is>
      </c>
      <c r="G45" s="11" t="inlineStr"/>
      <c r="H45" s="11" t="inlineStr"/>
    </row>
    <row r="46">
      <c r="A46" s="13" t="n">
        <v>46115</v>
      </c>
      <c r="B46" s="14" t="inlineStr">
        <is>
          <t>Wilson Express</t>
        </is>
      </c>
      <c r="C46" s="15" t="n">
        <v>7.8</v>
      </c>
      <c r="D46" s="14" t="inlineStr">
        <is>
          <t>Expense</t>
        </is>
      </c>
      <c r="E46" s="14" t="inlineStr">
        <is>
          <t>Dining</t>
        </is>
      </c>
      <c r="F46" s="14" t="inlineStr">
        <is>
          <t>USAA Credit Card</t>
        </is>
      </c>
      <c r="G46" s="14" t="inlineStr"/>
      <c r="H46" s="14" t="inlineStr"/>
    </row>
    <row r="47">
      <c r="A47" s="10" t="n">
        <v>46114</v>
      </c>
      <c r="B47" s="11" t="inlineStr">
        <is>
          <t>paypal payment</t>
        </is>
      </c>
      <c r="C47" s="12" t="n">
        <v>78.34</v>
      </c>
      <c r="D47" s="11" t="inlineStr">
        <is>
          <t>Transfer</t>
        </is>
      </c>
      <c r="E47" s="11" t="inlineStr">
        <is>
          <t>Transfer</t>
        </is>
      </c>
      <c r="F47" s="11" t="inlineStr">
        <is>
          <t>Checking</t>
        </is>
      </c>
      <c r="G47" s="11" t="inlineStr"/>
      <c r="H47" s="11" t="inlineStr"/>
    </row>
    <row r="48">
      <c r="A48" s="13" t="n">
        <v>46114</v>
      </c>
      <c r="B48" s="14" t="inlineStr">
        <is>
          <t>Apple Credit Card</t>
        </is>
      </c>
      <c r="C48" s="15" t="n">
        <v>78.34</v>
      </c>
      <c r="D48" s="14" t="inlineStr">
        <is>
          <t>Expense</t>
        </is>
      </c>
      <c r="E48" s="14" t="inlineStr">
        <is>
          <t>Transfer</t>
        </is>
      </c>
      <c r="F48" s="14" t="inlineStr">
        <is>
          <t>Checking</t>
        </is>
      </c>
      <c r="G48" s="14" t="inlineStr"/>
      <c r="H48" s="14" t="inlineStr"/>
    </row>
    <row r="49">
      <c r="A49" s="10" t="n">
        <v>46114</v>
      </c>
      <c r="B49" s="11" t="inlineStr">
        <is>
          <t>Bilt</t>
        </is>
      </c>
      <c r="C49" s="12" t="n">
        <v>69.92</v>
      </c>
      <c r="D49" s="11" t="inlineStr">
        <is>
          <t>Expense</t>
        </is>
      </c>
      <c r="E49" s="11" t="inlineStr">
        <is>
          <t>Misc</t>
        </is>
      </c>
      <c r="F49" s="11" t="inlineStr">
        <is>
          <t>Checking</t>
        </is>
      </c>
      <c r="G49" s="11" t="inlineStr"/>
      <c r="H49" s="11" t="inlineStr"/>
    </row>
    <row r="50">
      <c r="A50" s="13" t="n">
        <v>46113</v>
      </c>
      <c r="B50" s="14" t="inlineStr">
        <is>
          <t>city fresh</t>
        </is>
      </c>
      <c r="C50" s="15" t="n">
        <v>17.42</v>
      </c>
      <c r="D50" s="14" t="inlineStr">
        <is>
          <t>Expense</t>
        </is>
      </c>
      <c r="E50" s="14" t="inlineStr">
        <is>
          <t>Grocery</t>
        </is>
      </c>
      <c r="F50" s="14" t="inlineStr">
        <is>
          <t>Checking</t>
        </is>
      </c>
      <c r="G50" s="14" t="inlineStr"/>
      <c r="H50" s="14" t="inlineStr"/>
    </row>
    <row r="51">
      <c r="A51" s="10" t="n">
        <v>46113</v>
      </c>
      <c r="B51" s="11" t="inlineStr">
        <is>
          <t>AG Hardware</t>
        </is>
      </c>
      <c r="C51" s="12" t="n">
        <v>34.07</v>
      </c>
      <c r="D51" s="11" t="inlineStr">
        <is>
          <t>Expense</t>
        </is>
      </c>
      <c r="E51" s="11" t="inlineStr">
        <is>
          <t>Home</t>
        </is>
      </c>
      <c r="F51" s="11" t="inlineStr">
        <is>
          <t>USAA Credit Card</t>
        </is>
      </c>
      <c r="G51" s="11" t="inlineStr"/>
      <c r="H51" s="11" t="inlineStr"/>
    </row>
    <row r="52">
      <c r="A52" s="13" t="n">
        <v>46113</v>
      </c>
      <c r="B52" s="14" t="inlineStr">
        <is>
          <t>klarna</t>
        </is>
      </c>
      <c r="C52" s="15" t="n">
        <v>134.74</v>
      </c>
      <c r="D52" s="14" t="inlineStr">
        <is>
          <t>Expense</t>
        </is>
      </c>
      <c r="E52" s="14" t="inlineStr">
        <is>
          <t>Shopping</t>
        </is>
      </c>
      <c r="F52" s="14" t="inlineStr">
        <is>
          <t>Bilt</t>
        </is>
      </c>
      <c r="G52" s="14" t="inlineStr"/>
      <c r="H52" s="14" t="inlineStr"/>
    </row>
    <row r="53">
      <c r="A53" s="10" t="n">
        <v>46113</v>
      </c>
      <c r="B53" s="11" t="inlineStr">
        <is>
          <t>city fresh</t>
        </is>
      </c>
      <c r="C53" s="12" t="n">
        <v>31.34</v>
      </c>
      <c r="D53" s="11" t="inlineStr">
        <is>
          <t>Expense</t>
        </is>
      </c>
      <c r="E53" s="11" t="inlineStr">
        <is>
          <t>Grocery</t>
        </is>
      </c>
      <c r="F53" s="11" t="inlineStr">
        <is>
          <t>Bilt</t>
        </is>
      </c>
      <c r="G53" s="11" t="inlineStr"/>
      <c r="H53" s="11" t="inlineStr"/>
    </row>
    <row r="54">
      <c r="A54" s="13" t="n">
        <v>46113</v>
      </c>
      <c r="B54" s="14" t="inlineStr">
        <is>
          <t>bunker cafe</t>
        </is>
      </c>
      <c r="C54" s="15" t="n">
        <v>8.359999999999999</v>
      </c>
      <c r="D54" s="14" t="inlineStr">
        <is>
          <t>Expense</t>
        </is>
      </c>
      <c r="E54" s="14" t="inlineStr">
        <is>
          <t>Dining</t>
        </is>
      </c>
      <c r="F54" s="14" t="inlineStr">
        <is>
          <t>Bilt</t>
        </is>
      </c>
      <c r="G54" s="14" t="inlineStr"/>
      <c r="H54" s="14" t="inlineStr"/>
    </row>
    <row r="55">
      <c r="A55" s="10" t="n">
        <v>46113</v>
      </c>
      <c r="B55" s="11" t="inlineStr">
        <is>
          <t>doordash/grocery</t>
        </is>
      </c>
      <c r="C55" s="12" t="n">
        <v>109.72</v>
      </c>
      <c r="D55" s="11" t="inlineStr">
        <is>
          <t>Expense</t>
        </is>
      </c>
      <c r="E55" s="11" t="inlineStr">
        <is>
          <t>Grocery</t>
        </is>
      </c>
      <c r="F55" s="11" t="inlineStr">
        <is>
          <t>Bilt</t>
        </is>
      </c>
      <c r="G55" s="11" t="inlineStr"/>
      <c r="H55" s="11" t="inlineStr"/>
    </row>
    <row r="56">
      <c r="A56" s="13" t="n">
        <v>46113</v>
      </c>
      <c r="B56" s="14" t="inlineStr">
        <is>
          <t>all night skate</t>
        </is>
      </c>
      <c r="C56" s="15" t="n">
        <v>58.79</v>
      </c>
      <c r="D56" s="14" t="inlineStr">
        <is>
          <t>Expense</t>
        </is>
      </c>
      <c r="E56" s="14" t="inlineStr">
        <is>
          <t>Entertainment</t>
        </is>
      </c>
      <c r="F56" s="14" t="inlineStr">
        <is>
          <t>Bilt</t>
        </is>
      </c>
      <c r="G56" s="14" t="inlineStr"/>
      <c r="H56" s="14" t="inlineStr"/>
    </row>
    <row r="57">
      <c r="A57" s="10" t="n">
        <v>46113</v>
      </c>
      <c r="B57" s="11" t="inlineStr">
        <is>
          <t>tax hawk</t>
        </is>
      </c>
      <c r="C57" s="12" t="n">
        <v>17.41</v>
      </c>
      <c r="D57" s="11" t="inlineStr">
        <is>
          <t>Expense</t>
        </is>
      </c>
      <c r="E57" s="11" t="inlineStr">
        <is>
          <t>Misc</t>
        </is>
      </c>
      <c r="F57" s="11" t="inlineStr">
        <is>
          <t>Bilt</t>
        </is>
      </c>
      <c r="G57" s="11" t="inlineStr"/>
      <c r="H57" s="11" t="inlineStr"/>
    </row>
    <row r="58">
      <c r="A58" s="13" t="n">
        <v>46113</v>
      </c>
      <c r="B58" s="14" t="inlineStr">
        <is>
          <t>bushniwa</t>
        </is>
      </c>
      <c r="C58" s="15" t="n">
        <v>31.36</v>
      </c>
      <c r="D58" s="14" t="inlineStr">
        <is>
          <t>Expense</t>
        </is>
      </c>
      <c r="E58" s="14" t="inlineStr">
        <is>
          <t>Entertainment</t>
        </is>
      </c>
      <c r="F58" s="14" t="inlineStr">
        <is>
          <t>Bilt</t>
        </is>
      </c>
      <c r="G58" s="14" t="inlineStr"/>
      <c r="H58" s="14" t="inlineStr"/>
    </row>
    <row r="59">
      <c r="A59" s="10" t="n">
        <v>46113</v>
      </c>
      <c r="B59" s="11" t="inlineStr">
        <is>
          <t>dice</t>
        </is>
      </c>
      <c r="C59" s="12" t="n">
        <v>17</v>
      </c>
      <c r="D59" s="11" t="inlineStr">
        <is>
          <t>Expense</t>
        </is>
      </c>
      <c r="E59" s="11" t="inlineStr">
        <is>
          <t>Entertainment</t>
        </is>
      </c>
      <c r="F59" s="11" t="inlineStr">
        <is>
          <t>Bilt</t>
        </is>
      </c>
      <c r="G59" s="11" t="inlineStr"/>
      <c r="H59" s="11" t="inlineStr"/>
    </row>
    <row r="60">
      <c r="A60" s="13" t="n">
        <v>46113</v>
      </c>
      <c r="B60" s="14" t="inlineStr">
        <is>
          <t>purgatory</t>
        </is>
      </c>
      <c r="C60" s="15" t="n">
        <v>48</v>
      </c>
      <c r="D60" s="14" t="inlineStr">
        <is>
          <t>Expense</t>
        </is>
      </c>
      <c r="E60" s="14" t="inlineStr">
        <is>
          <t>Entertainment</t>
        </is>
      </c>
      <c r="F60" s="14" t="inlineStr">
        <is>
          <t>Bilt</t>
        </is>
      </c>
      <c r="G60" s="14" t="inlineStr"/>
      <c r="H60" s="14" t="inlineStr"/>
    </row>
    <row r="61">
      <c r="A61" s="10" t="n">
        <v>46113</v>
      </c>
      <c r="B61" s="11" t="inlineStr">
        <is>
          <t>bodega</t>
        </is>
      </c>
      <c r="C61" s="12" t="n">
        <v>6.24</v>
      </c>
      <c r="D61" s="11" t="inlineStr">
        <is>
          <t>Expense</t>
        </is>
      </c>
      <c r="E61" s="11" t="inlineStr">
        <is>
          <t>Dining</t>
        </is>
      </c>
      <c r="F61" s="11" t="inlineStr">
        <is>
          <t>Bilt</t>
        </is>
      </c>
      <c r="G61" s="11" t="inlineStr"/>
      <c r="H61" s="11" t="inlineStr"/>
    </row>
    <row r="62">
      <c r="A62" s="13" t="n">
        <v>46113</v>
      </c>
      <c r="B62" s="14" t="inlineStr">
        <is>
          <t>terra kaffe</t>
        </is>
      </c>
      <c r="C62" s="15" t="n">
        <v>69.14</v>
      </c>
      <c r="D62" s="14" t="inlineStr">
        <is>
          <t>Expense</t>
        </is>
      </c>
      <c r="E62" s="14" t="inlineStr">
        <is>
          <t>Dining</t>
        </is>
      </c>
      <c r="F62" s="14" t="inlineStr">
        <is>
          <t>Bilt</t>
        </is>
      </c>
      <c r="G62" s="14" t="inlineStr"/>
      <c r="H62" s="14" t="inlineStr"/>
    </row>
    <row r="63">
      <c r="A63" s="10" t="n">
        <v>46070</v>
      </c>
      <c r="B63" s="11" t="inlineStr">
        <is>
          <t>Popeyes</t>
        </is>
      </c>
      <c r="C63" s="12" t="n">
        <v>12.5</v>
      </c>
      <c r="D63" s="11" t="inlineStr">
        <is>
          <t>Expense</t>
        </is>
      </c>
      <c r="E63" s="11" t="inlineStr">
        <is>
          <t>Dining</t>
        </is>
      </c>
      <c r="F63" s="11" t="inlineStr">
        <is>
          <t>Checking</t>
        </is>
      </c>
      <c r="G63" s="11" t="inlineStr">
        <is>
          <t>Roberto</t>
        </is>
      </c>
      <c r="H63" s="11" t="inlineStr"/>
    </row>
    <row r="64">
      <c r="A64" s="13" t="n">
        <v>46070</v>
      </c>
      <c r="B64" s="14" t="inlineStr">
        <is>
          <t>Koneko</t>
        </is>
      </c>
      <c r="C64" s="15" t="n">
        <v>19</v>
      </c>
      <c r="D64" s="14" t="inlineStr">
        <is>
          <t>Expense</t>
        </is>
      </c>
      <c r="E64" s="14" t="inlineStr">
        <is>
          <t>Misc</t>
        </is>
      </c>
      <c r="F64" s="14" t="inlineStr">
        <is>
          <t>Checking</t>
        </is>
      </c>
      <c r="G64" s="14" t="inlineStr">
        <is>
          <t>Roberto</t>
        </is>
      </c>
      <c r="H64" s="14" t="inlineStr"/>
    </row>
    <row r="65">
      <c r="A65" s="10" t="n">
        <v>46068</v>
      </c>
      <c r="B65" s="11" t="inlineStr">
        <is>
          <t>Amazon</t>
        </is>
      </c>
      <c r="C65" s="12" t="n">
        <v>9.16</v>
      </c>
      <c r="D65" s="11" t="inlineStr">
        <is>
          <t>Expense</t>
        </is>
      </c>
      <c r="E65" s="11" t="inlineStr">
        <is>
          <t>Shopping</t>
        </is>
      </c>
      <c r="F65" s="11" t="inlineStr">
        <is>
          <t>Apple Card</t>
        </is>
      </c>
      <c r="G65" s="11" t="inlineStr">
        <is>
          <t>Roberto</t>
        </is>
      </c>
      <c r="H65" s="11" t="inlineStr"/>
    </row>
    <row r="66">
      <c r="A66" s="13" t="n">
        <v>46068</v>
      </c>
      <c r="B66" s="14" t="inlineStr">
        <is>
          <t>Amazon</t>
        </is>
      </c>
      <c r="C66" s="15" t="n">
        <v>19.54</v>
      </c>
      <c r="D66" s="14" t="inlineStr">
        <is>
          <t>Expense</t>
        </is>
      </c>
      <c r="E66" s="14" t="inlineStr">
        <is>
          <t>Shopping</t>
        </is>
      </c>
      <c r="F66" s="14" t="inlineStr">
        <is>
          <t>Apple Card</t>
        </is>
      </c>
      <c r="G66" s="14" t="inlineStr">
        <is>
          <t>Roberto</t>
        </is>
      </c>
      <c r="H66" s="14" t="inlineStr"/>
    </row>
    <row r="67">
      <c r="A67" s="10" t="n">
        <v>46068</v>
      </c>
      <c r="B67" s="11" t="inlineStr">
        <is>
          <t>Amazon</t>
        </is>
      </c>
      <c r="C67" s="12" t="n">
        <v>9.449999999999999</v>
      </c>
      <c r="D67" s="11" t="inlineStr">
        <is>
          <t>Expense</t>
        </is>
      </c>
      <c r="E67" s="11" t="inlineStr">
        <is>
          <t>Shopping</t>
        </is>
      </c>
      <c r="F67" s="11" t="inlineStr">
        <is>
          <t>Apple Card</t>
        </is>
      </c>
      <c r="G67" s="11" t="inlineStr">
        <is>
          <t>Roberto</t>
        </is>
      </c>
      <c r="H67" s="11" t="inlineStr"/>
    </row>
    <row r="68">
      <c r="A68" s="13" t="n">
        <v>46066</v>
      </c>
      <c r="B68" s="14" t="inlineStr">
        <is>
          <t>Bodgega</t>
        </is>
      </c>
      <c r="C68" s="15" t="n">
        <v>5.2</v>
      </c>
      <c r="D68" s="14" t="inlineStr">
        <is>
          <t>Expense</t>
        </is>
      </c>
      <c r="E68" s="14" t="inlineStr">
        <is>
          <t>Misc</t>
        </is>
      </c>
      <c r="F68" s="14" t="inlineStr">
        <is>
          <t>Checking</t>
        </is>
      </c>
      <c r="G68" s="14" t="inlineStr">
        <is>
          <t>Roberto</t>
        </is>
      </c>
      <c r="H68" s="14" t="inlineStr"/>
    </row>
    <row r="69">
      <c r="A69" s="10" t="n">
        <v>46066</v>
      </c>
      <c r="B69" s="11" t="inlineStr">
        <is>
          <t>Groceries</t>
        </is>
      </c>
      <c r="C69" s="12" t="n">
        <v>70</v>
      </c>
      <c r="D69" s="11" t="inlineStr">
        <is>
          <t>Expense</t>
        </is>
      </c>
      <c r="E69" s="11" t="inlineStr">
        <is>
          <t>Grocery</t>
        </is>
      </c>
      <c r="F69" s="11" t="inlineStr">
        <is>
          <t>Checking</t>
        </is>
      </c>
      <c r="G69" s="11" t="inlineStr"/>
      <c r="H69" s="11" t="inlineStr"/>
    </row>
    <row r="70">
      <c r="A70" s="13" t="n">
        <v>46065</v>
      </c>
      <c r="B70" s="14" t="inlineStr">
        <is>
          <t>City Fresh</t>
        </is>
      </c>
      <c r="C70" s="15" t="n">
        <v>12.29</v>
      </c>
      <c r="D70" s="14" t="inlineStr">
        <is>
          <t>Expense</t>
        </is>
      </c>
      <c r="E70" s="14" t="inlineStr">
        <is>
          <t>Grocery</t>
        </is>
      </c>
      <c r="F70" s="14" t="inlineStr">
        <is>
          <t>Checking</t>
        </is>
      </c>
      <c r="G70" s="14" t="inlineStr">
        <is>
          <t>Roberto</t>
        </is>
      </c>
      <c r="H70" s="14" t="inlineStr"/>
    </row>
    <row r="71">
      <c r="A71" s="10" t="n">
        <v>46064</v>
      </c>
      <c r="B71" s="11" t="inlineStr">
        <is>
          <t>City Fresh</t>
        </is>
      </c>
      <c r="C71" s="12" t="n">
        <v>34.18</v>
      </c>
      <c r="D71" s="11" t="inlineStr">
        <is>
          <t>Expense</t>
        </is>
      </c>
      <c r="E71" s="11" t="inlineStr">
        <is>
          <t>Grocery</t>
        </is>
      </c>
      <c r="F71" s="11" t="inlineStr">
        <is>
          <t>Checking</t>
        </is>
      </c>
      <c r="G71" s="11" t="inlineStr">
        <is>
          <t>Roberto</t>
        </is>
      </c>
      <c r="H71" s="11" t="inlineStr"/>
    </row>
    <row r="72">
      <c r="A72" s="13" t="n">
        <v>46063</v>
      </c>
      <c r="B72" s="14" t="inlineStr">
        <is>
          <t>Bodgega</t>
        </is>
      </c>
      <c r="C72" s="15" t="n">
        <v>5.72</v>
      </c>
      <c r="D72" s="14" t="inlineStr">
        <is>
          <t>Expense</t>
        </is>
      </c>
      <c r="E72" s="14" t="inlineStr">
        <is>
          <t>Misc</t>
        </is>
      </c>
      <c r="F72" s="14" t="inlineStr">
        <is>
          <t>Checking</t>
        </is>
      </c>
      <c r="G72" s="14" t="inlineStr">
        <is>
          <t>Roberto</t>
        </is>
      </c>
      <c r="H72" s="14" t="inlineStr"/>
    </row>
    <row r="73">
      <c r="A73" s="10" t="n">
        <v>46063</v>
      </c>
      <c r="B73" s="11" t="inlineStr">
        <is>
          <t>Tailor Home</t>
        </is>
      </c>
      <c r="C73" s="12" t="n">
        <v>15.46</v>
      </c>
      <c r="D73" s="11" t="inlineStr">
        <is>
          <t>Expense</t>
        </is>
      </c>
      <c r="E73" s="11" t="inlineStr">
        <is>
          <t>Misc</t>
        </is>
      </c>
      <c r="F73" s="11" t="inlineStr">
        <is>
          <t>Checking</t>
        </is>
      </c>
      <c r="G73" s="11" t="inlineStr">
        <is>
          <t>Roberto</t>
        </is>
      </c>
      <c r="H73" s="11" t="inlineStr"/>
    </row>
    <row r="74">
      <c r="A74" s="13" t="n">
        <v>46063</v>
      </c>
      <c r="B74" s="14" t="inlineStr">
        <is>
          <t>Pai ATM</t>
        </is>
      </c>
      <c r="C74" s="15" t="n">
        <v>63.5</v>
      </c>
      <c r="D74" s="14" t="inlineStr">
        <is>
          <t>Expense</t>
        </is>
      </c>
      <c r="E74" s="14" t="inlineStr">
        <is>
          <t>Transfer</t>
        </is>
      </c>
      <c r="F74" s="14" t="inlineStr">
        <is>
          <t>Checking</t>
        </is>
      </c>
      <c r="G74" s="14" t="inlineStr">
        <is>
          <t>Roberto</t>
        </is>
      </c>
      <c r="H74" s="14" t="inlineStr"/>
    </row>
    <row r="75">
      <c r="A75" s="10" t="n">
        <v>46063</v>
      </c>
      <c r="B75" s="11" t="inlineStr">
        <is>
          <t>PostNet</t>
        </is>
      </c>
      <c r="C75" s="12" t="n">
        <v>15.51</v>
      </c>
      <c r="D75" s="11" t="inlineStr">
        <is>
          <t>Expense</t>
        </is>
      </c>
      <c r="E75" s="11" t="inlineStr">
        <is>
          <t>Misc</t>
        </is>
      </c>
      <c r="F75" s="11" t="inlineStr">
        <is>
          <t>Apple Card</t>
        </is>
      </c>
      <c r="G75" s="11" t="inlineStr">
        <is>
          <t>Roberto</t>
        </is>
      </c>
      <c r="H75" s="11" t="inlineStr"/>
    </row>
    <row r="76">
      <c r="A76" s="13" t="n">
        <v>46063</v>
      </c>
      <c r="B76" s="14" t="inlineStr">
        <is>
          <t>Amazon</t>
        </is>
      </c>
      <c r="C76" s="15" t="n">
        <v>11.94</v>
      </c>
      <c r="D76" s="14" t="inlineStr">
        <is>
          <t>Expense</t>
        </is>
      </c>
      <c r="E76" s="14" t="inlineStr">
        <is>
          <t>Shopping</t>
        </is>
      </c>
      <c r="F76" s="14" t="inlineStr">
        <is>
          <t>Apple Card</t>
        </is>
      </c>
      <c r="G76" s="14" t="inlineStr">
        <is>
          <t>Roberto</t>
        </is>
      </c>
      <c r="H76" s="14" t="inlineStr"/>
    </row>
    <row r="77">
      <c r="A77" s="10" t="n">
        <v>46063</v>
      </c>
      <c r="B77" s="11" t="inlineStr">
        <is>
          <t>Amazon</t>
        </is>
      </c>
      <c r="C77" s="12" t="n">
        <v>28.3</v>
      </c>
      <c r="D77" s="11" t="inlineStr">
        <is>
          <t>Expense</t>
        </is>
      </c>
      <c r="E77" s="11" t="inlineStr">
        <is>
          <t>Shopping</t>
        </is>
      </c>
      <c r="F77" s="11" t="inlineStr">
        <is>
          <t>Apple Card</t>
        </is>
      </c>
      <c r="G77" s="11" t="inlineStr">
        <is>
          <t>Roberto</t>
        </is>
      </c>
      <c r="H77" s="11" t="inlineStr"/>
    </row>
    <row r="78">
      <c r="A78" s="13" t="n">
        <v>46063</v>
      </c>
      <c r="B78" s="14" t="inlineStr">
        <is>
          <t>Angelika</t>
        </is>
      </c>
      <c r="C78" s="15" t="n">
        <v>42.38</v>
      </c>
      <c r="D78" s="14" t="inlineStr">
        <is>
          <t>Expense</t>
        </is>
      </c>
      <c r="E78" s="14" t="inlineStr">
        <is>
          <t>Misc</t>
        </is>
      </c>
      <c r="F78" s="14" t="inlineStr">
        <is>
          <t>Apple Card</t>
        </is>
      </c>
      <c r="G78" s="14" t="inlineStr">
        <is>
          <t>Roberto</t>
        </is>
      </c>
      <c r="H78" s="14" t="inlineStr"/>
    </row>
    <row r="79">
      <c r="A79" s="10" t="n">
        <v>46062</v>
      </c>
      <c r="B79" s="11" t="inlineStr">
        <is>
          <t>bodega</t>
        </is>
      </c>
      <c r="C79" s="12" t="n">
        <v>3.12</v>
      </c>
      <c r="D79" s="11" t="inlineStr">
        <is>
          <t>Expense</t>
        </is>
      </c>
      <c r="E79" s="11" t="inlineStr">
        <is>
          <t>Dining</t>
        </is>
      </c>
      <c r="F79" s="11" t="inlineStr">
        <is>
          <t>Checking</t>
        </is>
      </c>
      <c r="G79" s="11" t="inlineStr">
        <is>
          <t>Roberto</t>
        </is>
      </c>
      <c r="H79" s="11" t="inlineStr"/>
    </row>
    <row r="80">
      <c r="A80" s="13" t="n">
        <v>46062</v>
      </c>
      <c r="B80" s="14" t="inlineStr">
        <is>
          <t>city fresh</t>
        </is>
      </c>
      <c r="C80" s="15" t="n">
        <v>3.99</v>
      </c>
      <c r="D80" s="14" t="inlineStr">
        <is>
          <t>Expense</t>
        </is>
      </c>
      <c r="E80" s="14" t="inlineStr">
        <is>
          <t>Grocery</t>
        </is>
      </c>
      <c r="F80" s="14" t="inlineStr">
        <is>
          <t>Checking</t>
        </is>
      </c>
      <c r="G80" s="14" t="inlineStr">
        <is>
          <t>Roberto</t>
        </is>
      </c>
      <c r="H80" s="14" t="inlineStr"/>
    </row>
    <row r="81">
      <c r="A81" s="10" t="n">
        <v>46062</v>
      </c>
      <c r="B81" s="11" t="inlineStr">
        <is>
          <t>3 diamond</t>
        </is>
      </c>
      <c r="C81" s="12" t="n">
        <v>30.04</v>
      </c>
      <c r="D81" s="11" t="inlineStr">
        <is>
          <t>Expense</t>
        </is>
      </c>
      <c r="E81" s="11" t="inlineStr">
        <is>
          <t>Misc</t>
        </is>
      </c>
      <c r="F81" s="11" t="inlineStr">
        <is>
          <t>Checking</t>
        </is>
      </c>
      <c r="G81" s="11" t="inlineStr">
        <is>
          <t>Roberto</t>
        </is>
      </c>
      <c r="H81" s="11" t="inlineStr"/>
    </row>
    <row r="82">
      <c r="A82" s="13" t="n">
        <v>46062</v>
      </c>
      <c r="B82" s="14" t="inlineStr">
        <is>
          <t>ayat</t>
        </is>
      </c>
      <c r="C82" s="15" t="n">
        <v>35.4</v>
      </c>
      <c r="D82" s="14" t="inlineStr">
        <is>
          <t>Expense</t>
        </is>
      </c>
      <c r="E82" s="14" t="inlineStr">
        <is>
          <t>Misc</t>
        </is>
      </c>
      <c r="F82" s="14" t="inlineStr">
        <is>
          <t>Checking</t>
        </is>
      </c>
      <c r="G82" s="14" t="inlineStr">
        <is>
          <t>Roberto</t>
        </is>
      </c>
      <c r="H82" s="14" t="inlineStr"/>
    </row>
    <row r="83">
      <c r="A83" s="10" t="n">
        <v>46062</v>
      </c>
      <c r="B83" s="11" t="inlineStr">
        <is>
          <t>nowhere</t>
        </is>
      </c>
      <c r="C83" s="12" t="n">
        <v>54</v>
      </c>
      <c r="D83" s="11" t="inlineStr">
        <is>
          <t>Expense</t>
        </is>
      </c>
      <c r="E83" s="11" t="inlineStr">
        <is>
          <t>Misc</t>
        </is>
      </c>
      <c r="F83" s="11" t="inlineStr">
        <is>
          <t>Checking</t>
        </is>
      </c>
      <c r="G83" s="11" t="inlineStr">
        <is>
          <t>Roberto</t>
        </is>
      </c>
      <c r="H83" s="11" t="inlineStr"/>
    </row>
    <row r="84">
      <c r="A84" s="13" t="n">
        <v>46062</v>
      </c>
      <c r="B84" s="14" t="inlineStr">
        <is>
          <t>Uber</t>
        </is>
      </c>
      <c r="C84" s="15" t="n">
        <v>16.94</v>
      </c>
      <c r="D84" s="14" t="inlineStr">
        <is>
          <t>Expense</t>
        </is>
      </c>
      <c r="E84" s="14" t="inlineStr">
        <is>
          <t>Transit</t>
        </is>
      </c>
      <c r="F84" s="14" t="inlineStr">
        <is>
          <t>Checking</t>
        </is>
      </c>
      <c r="G84" s="14" t="inlineStr">
        <is>
          <t>Roberto</t>
        </is>
      </c>
      <c r="H84" s="14" t="inlineStr"/>
    </row>
    <row r="85">
      <c r="A85" s="10" t="n">
        <v>46062</v>
      </c>
      <c r="B85" s="11" t="inlineStr">
        <is>
          <t>Ikea</t>
        </is>
      </c>
      <c r="C85" s="12" t="n">
        <v>36.97</v>
      </c>
      <c r="D85" s="11" t="inlineStr">
        <is>
          <t>Expense</t>
        </is>
      </c>
      <c r="E85" s="11" t="inlineStr">
        <is>
          <t>Home</t>
        </is>
      </c>
      <c r="F85" s="11" t="inlineStr">
        <is>
          <t>Apple Card</t>
        </is>
      </c>
      <c r="G85" s="11" t="inlineStr">
        <is>
          <t>Roberto</t>
        </is>
      </c>
      <c r="H85" s="11" t="inlineStr"/>
    </row>
    <row r="86">
      <c r="A86" s="13" t="n">
        <v>46062</v>
      </c>
      <c r="B86" s="14" t="inlineStr">
        <is>
          <t>Staples</t>
        </is>
      </c>
      <c r="C86" s="15" t="n">
        <v>23.7</v>
      </c>
      <c r="D86" s="14" t="inlineStr">
        <is>
          <t>Expense</t>
        </is>
      </c>
      <c r="E86" s="14" t="inlineStr">
        <is>
          <t>Misc</t>
        </is>
      </c>
      <c r="F86" s="14" t="inlineStr">
        <is>
          <t>Apple Card</t>
        </is>
      </c>
      <c r="G86" s="14" t="inlineStr">
        <is>
          <t>Roberto</t>
        </is>
      </c>
      <c r="H86" s="14" t="inlineStr"/>
    </row>
    <row r="87">
      <c r="A87" s="10" t="n">
        <v>46059</v>
      </c>
      <c r="B87" s="11" t="inlineStr">
        <is>
          <t>playground bar</t>
        </is>
      </c>
      <c r="C87" s="12" t="n">
        <v>9.17</v>
      </c>
      <c r="D87" s="11" t="inlineStr">
        <is>
          <t>Expense</t>
        </is>
      </c>
      <c r="E87" s="11" t="inlineStr">
        <is>
          <t>Misc</t>
        </is>
      </c>
      <c r="F87" s="11" t="inlineStr">
        <is>
          <t>Checking</t>
        </is>
      </c>
      <c r="G87" s="11" t="inlineStr">
        <is>
          <t>Roberto</t>
        </is>
      </c>
      <c r="H87" s="11" t="inlineStr"/>
    </row>
    <row r="88">
      <c r="A88" s="13" t="n">
        <v>46059</v>
      </c>
      <c r="B88" s="14" t="inlineStr">
        <is>
          <t>city fresh</t>
        </is>
      </c>
      <c r="C88" s="15" t="n">
        <v>12.47</v>
      </c>
      <c r="D88" s="14" t="inlineStr">
        <is>
          <t>Expense</t>
        </is>
      </c>
      <c r="E88" s="14" t="inlineStr">
        <is>
          <t>Grocery</t>
        </is>
      </c>
      <c r="F88" s="14" t="inlineStr">
        <is>
          <t>Checking</t>
        </is>
      </c>
      <c r="G88" s="14" t="inlineStr">
        <is>
          <t>Roberto</t>
        </is>
      </c>
      <c r="H88" s="14" t="inlineStr"/>
    </row>
    <row r="89">
      <c r="A89" s="10" t="n">
        <v>46057</v>
      </c>
      <c r="B89" s="11" t="inlineStr">
        <is>
          <t>sandbar</t>
        </is>
      </c>
      <c r="C89" s="12" t="n">
        <v>39.6</v>
      </c>
      <c r="D89" s="11" t="inlineStr">
        <is>
          <t>Expense</t>
        </is>
      </c>
      <c r="E89" s="11" t="inlineStr">
        <is>
          <t>Misc</t>
        </is>
      </c>
      <c r="F89" s="11" t="inlineStr">
        <is>
          <t>Checking</t>
        </is>
      </c>
      <c r="G89" s="11" t="inlineStr">
        <is>
          <t>Roberto</t>
        </is>
      </c>
      <c r="H89" s="11" t="inlineStr"/>
    </row>
    <row r="90">
      <c r="A90" s="13" t="n">
        <v>46056</v>
      </c>
      <c r="B90" s="14" t="inlineStr">
        <is>
          <t>amazon</t>
        </is>
      </c>
      <c r="C90" s="15" t="n">
        <v>17.39</v>
      </c>
      <c r="D90" s="14" t="inlineStr">
        <is>
          <t>Expense</t>
        </is>
      </c>
      <c r="E90" s="14" t="inlineStr">
        <is>
          <t>Shopping</t>
        </is>
      </c>
      <c r="F90" s="14" t="inlineStr">
        <is>
          <t>Checking</t>
        </is>
      </c>
      <c r="G90" s="14" t="inlineStr">
        <is>
          <t>Roberto</t>
        </is>
      </c>
      <c r="H90" s="14" t="inlineStr"/>
    </row>
    <row r="91">
      <c r="A91" s="10" t="n">
        <v>46055</v>
      </c>
      <c r="B91" s="11" t="inlineStr">
        <is>
          <t>uber</t>
        </is>
      </c>
      <c r="C91" s="12" t="n">
        <v>14.94</v>
      </c>
      <c r="D91" s="11" t="inlineStr">
        <is>
          <t>Expense</t>
        </is>
      </c>
      <c r="E91" s="11" t="inlineStr">
        <is>
          <t>Transit</t>
        </is>
      </c>
      <c r="F91" s="11" t="inlineStr">
        <is>
          <t>Checking</t>
        </is>
      </c>
      <c r="G91" s="11" t="inlineStr">
        <is>
          <t>Roberto</t>
        </is>
      </c>
      <c r="H91" s="11" t="inlineStr"/>
    </row>
    <row r="92">
      <c r="A92" s="13" t="n">
        <v>46055</v>
      </c>
      <c r="B92" s="14" t="inlineStr">
        <is>
          <t>uber</t>
        </is>
      </c>
      <c r="C92" s="15" t="n">
        <v>25.22</v>
      </c>
      <c r="D92" s="14" t="inlineStr">
        <is>
          <t>Expense</t>
        </is>
      </c>
      <c r="E92" s="14" t="inlineStr">
        <is>
          <t>Transit</t>
        </is>
      </c>
      <c r="F92" s="14" t="inlineStr">
        <is>
          <t>Checking</t>
        </is>
      </c>
      <c r="G92" s="14" t="inlineStr">
        <is>
          <t>Roberto</t>
        </is>
      </c>
      <c r="H92" s="14" t="inlineStr"/>
    </row>
    <row r="93">
      <c r="A93" s="10" t="n">
        <v>46040</v>
      </c>
      <c r="B93" s="11" t="inlineStr">
        <is>
          <t>Vocal Lesson</t>
        </is>
      </c>
      <c r="C93" s="12" t="n">
        <v>100</v>
      </c>
      <c r="D93" s="11" t="inlineStr">
        <is>
          <t>Expense</t>
        </is>
      </c>
      <c r="E93" s="11" t="inlineStr">
        <is>
          <t>Misc</t>
        </is>
      </c>
      <c r="F93" s="11" t="inlineStr">
        <is>
          <t>Checking</t>
        </is>
      </c>
      <c r="G93" s="11" t="inlineStr"/>
      <c r="H93" s="11" t="inlineStr"/>
    </row>
    <row r="94">
      <c r="A94" s="13" t="n">
        <v>46040</v>
      </c>
      <c r="B94" s="14" t="inlineStr">
        <is>
          <t>Grocery (Doordash)</t>
        </is>
      </c>
      <c r="C94" s="15" t="n">
        <v>77.5</v>
      </c>
      <c r="D94" s="14" t="inlineStr">
        <is>
          <t>Expense</t>
        </is>
      </c>
      <c r="E94" s="14" t="inlineStr">
        <is>
          <t>Grocery</t>
        </is>
      </c>
      <c r="F94" s="14" t="inlineStr">
        <is>
          <t>Checking</t>
        </is>
      </c>
      <c r="G94" s="14" t="inlineStr">
        <is>
          <t>Cliff/Roberto</t>
        </is>
      </c>
      <c r="H94" s="14" t="inlineStr">
        <is>
          <t>155 in total</t>
        </is>
      </c>
    </row>
    <row r="95">
      <c r="A95" s="10" t="n">
        <v>46037</v>
      </c>
      <c r="B95" s="11" t="inlineStr">
        <is>
          <t>amazon</t>
        </is>
      </c>
      <c r="C95" s="12" t="n">
        <v>7.61</v>
      </c>
      <c r="D95" s="11" t="inlineStr">
        <is>
          <t>Expense</t>
        </is>
      </c>
      <c r="E95" s="11" t="inlineStr">
        <is>
          <t>Shopping</t>
        </is>
      </c>
      <c r="F95" s="11" t="inlineStr">
        <is>
          <t>Checking</t>
        </is>
      </c>
      <c r="G95" s="11" t="inlineStr"/>
      <c r="H95" s="11" t="inlineStr">
        <is>
          <t>curtain rings</t>
        </is>
      </c>
    </row>
    <row r="96">
      <c r="A96" s="13" t="n">
        <v>46033</v>
      </c>
      <c r="B96" s="14" t="inlineStr">
        <is>
          <t>Warby Parker (Cliff)</t>
        </is>
      </c>
      <c r="C96" s="15" t="n">
        <v>235</v>
      </c>
      <c r="D96" s="14" t="inlineStr">
        <is>
          <t>Expense</t>
        </is>
      </c>
      <c r="E96" s="14" t="inlineStr">
        <is>
          <t>Misc</t>
        </is>
      </c>
      <c r="F96" s="14" t="inlineStr">
        <is>
          <t>Checking</t>
        </is>
      </c>
      <c r="G96" s="14" t="inlineStr"/>
      <c r="H96" s="14" t="inlineStr"/>
    </row>
    <row r="97">
      <c r="A97" s="10" t="n">
        <v>46033</v>
      </c>
      <c r="B97" s="11" t="inlineStr">
        <is>
          <t>uber to warby</t>
        </is>
      </c>
      <c r="C97" s="12" t="n">
        <v>18.93</v>
      </c>
      <c r="D97" s="11" t="inlineStr">
        <is>
          <t>Expense</t>
        </is>
      </c>
      <c r="E97" s="11" t="inlineStr">
        <is>
          <t>Transit</t>
        </is>
      </c>
      <c r="F97" s="11" t="inlineStr">
        <is>
          <t>Checking</t>
        </is>
      </c>
      <c r="G97" s="11" t="inlineStr"/>
      <c r="H97" s="11" t="inlineStr"/>
    </row>
    <row r="98">
      <c r="A98" s="13" t="n">
        <v>46027</v>
      </c>
      <c r="B98" s="14" t="inlineStr">
        <is>
          <t>City Fresh</t>
        </is>
      </c>
      <c r="C98" s="15" t="n">
        <v>15.74</v>
      </c>
      <c r="D98" s="14" t="inlineStr">
        <is>
          <t>Expense</t>
        </is>
      </c>
      <c r="E98" s="14" t="inlineStr">
        <is>
          <t>Grocery</t>
        </is>
      </c>
      <c r="F98" s="14" t="inlineStr">
        <is>
          <t>Checking</t>
        </is>
      </c>
      <c r="G98" s="14" t="inlineStr"/>
      <c r="H98" s="14" t="inlineStr"/>
    </row>
    <row r="99">
      <c r="A99" s="10" t="n">
        <v>46027</v>
      </c>
      <c r="B99" s="11" t="inlineStr">
        <is>
          <t>Bodega</t>
        </is>
      </c>
      <c r="C99" s="12" t="n">
        <v>17.86</v>
      </c>
      <c r="D99" s="11" t="inlineStr">
        <is>
          <t>Expense</t>
        </is>
      </c>
      <c r="E99" s="11" t="inlineStr">
        <is>
          <t>Dining</t>
        </is>
      </c>
      <c r="F99" s="11" t="inlineStr">
        <is>
          <t>Checking</t>
        </is>
      </c>
      <c r="G99" s="11" t="inlineStr"/>
      <c r="H99" s="11" t="inlineStr"/>
    </row>
    <row r="100">
      <c r="A100" s="13" t="n">
        <v>46026</v>
      </c>
      <c r="B100" s="14" t="inlineStr">
        <is>
          <t>amazon</t>
        </is>
      </c>
      <c r="C100" s="15" t="n">
        <v>13.84</v>
      </c>
      <c r="D100" s="14" t="inlineStr">
        <is>
          <t>Expense</t>
        </is>
      </c>
      <c r="E100" s="14" t="inlineStr">
        <is>
          <t>Shopping</t>
        </is>
      </c>
      <c r="F100" s="14" t="inlineStr">
        <is>
          <t>Checking</t>
        </is>
      </c>
      <c r="G100" s="14" t="inlineStr"/>
      <c r="H100" s="14" t="inlineStr">
        <is>
          <t>gym bag</t>
        </is>
      </c>
    </row>
    <row r="101">
      <c r="A101" s="10" t="n">
        <v>46026</v>
      </c>
      <c r="B101" s="11" t="inlineStr">
        <is>
          <t>amazon 2</t>
        </is>
      </c>
      <c r="C101" s="12" t="n">
        <v>15.72</v>
      </c>
      <c r="D101" s="11" t="inlineStr">
        <is>
          <t>Expense</t>
        </is>
      </c>
      <c r="E101" s="11" t="inlineStr">
        <is>
          <t>Shopping</t>
        </is>
      </c>
      <c r="F101" s="11" t="inlineStr">
        <is>
          <t>Checking</t>
        </is>
      </c>
      <c r="G101" s="11" t="inlineStr"/>
      <c r="H101" s="11" t="inlineStr">
        <is>
          <t>leather cleaner</t>
        </is>
      </c>
    </row>
    <row r="102">
      <c r="A102" s="13" t="n">
        <v>46026</v>
      </c>
      <c r="B102" s="14" t="inlineStr">
        <is>
          <t>amazon3</t>
        </is>
      </c>
      <c r="C102" s="15" t="n">
        <v>14.14</v>
      </c>
      <c r="D102" s="14" t="inlineStr">
        <is>
          <t>Expense</t>
        </is>
      </c>
      <c r="E102" s="14" t="inlineStr">
        <is>
          <t>Shopping</t>
        </is>
      </c>
      <c r="F102" s="14" t="inlineStr">
        <is>
          <t>Checking</t>
        </is>
      </c>
      <c r="G102" s="14" t="inlineStr"/>
      <c r="H102" s="14" t="inlineStr">
        <is>
          <t>cable for speakers</t>
        </is>
      </c>
    </row>
    <row r="103">
      <c r="A103" s="10" t="n">
        <v>46026</v>
      </c>
      <c r="B103" s="11" t="inlineStr">
        <is>
          <t>amazon 4</t>
        </is>
      </c>
      <c r="C103" s="12" t="n">
        <v>6.85</v>
      </c>
      <c r="D103" s="11" t="inlineStr">
        <is>
          <t>Expense</t>
        </is>
      </c>
      <c r="E103" s="11" t="inlineStr">
        <is>
          <t>Shopping</t>
        </is>
      </c>
      <c r="F103" s="11" t="inlineStr">
        <is>
          <t>Checking</t>
        </is>
      </c>
      <c r="G103" s="11" t="inlineStr"/>
      <c r="H103" s="11" t="inlineStr">
        <is>
          <t>curtain rings</t>
        </is>
      </c>
    </row>
    <row r="104">
      <c r="A104" s="13" t="n">
        <v>46026</v>
      </c>
      <c r="B104" s="14" t="inlineStr">
        <is>
          <t>amazon 5</t>
        </is>
      </c>
      <c r="C104" s="15" t="n">
        <v>7.61</v>
      </c>
      <c r="D104" s="14" t="inlineStr">
        <is>
          <t>Expense</t>
        </is>
      </c>
      <c r="E104" s="14" t="inlineStr">
        <is>
          <t>Shopping</t>
        </is>
      </c>
      <c r="F104" s="14" t="inlineStr">
        <is>
          <t>Checking</t>
        </is>
      </c>
      <c r="G104" s="14" t="inlineStr"/>
      <c r="H104" s="14" t="inlineStr">
        <is>
          <t>mic stand adapter</t>
        </is>
      </c>
    </row>
    <row r="105">
      <c r="A105" s="10" t="n">
        <v>46026</v>
      </c>
      <c r="B105" s="11" t="inlineStr">
        <is>
          <t>amazon 6</t>
        </is>
      </c>
      <c r="C105" s="12" t="n">
        <v>97.93000000000001</v>
      </c>
      <c r="D105" s="11" t="inlineStr">
        <is>
          <t>Expense</t>
        </is>
      </c>
      <c r="E105" s="11" t="inlineStr">
        <is>
          <t>Shopping</t>
        </is>
      </c>
      <c r="F105" s="11" t="inlineStr">
        <is>
          <t>Checking</t>
        </is>
      </c>
      <c r="G105" s="11" t="inlineStr"/>
      <c r="H105" s="11" t="inlineStr">
        <is>
          <t>blueooth transmitter, power strip, aux cable, phone tripod</t>
        </is>
      </c>
    </row>
    <row r="106">
      <c r="A106" s="13" t="n">
        <v>46026</v>
      </c>
      <c r="B106" s="14" t="inlineStr">
        <is>
          <t>amazon 7</t>
        </is>
      </c>
      <c r="C106" s="15" t="n">
        <v>10.88</v>
      </c>
      <c r="D106" s="14" t="inlineStr">
        <is>
          <t>Expense</t>
        </is>
      </c>
      <c r="E106" s="14" t="inlineStr">
        <is>
          <t>Shopping</t>
        </is>
      </c>
      <c r="F106" s="14" t="inlineStr">
        <is>
          <t>Checking</t>
        </is>
      </c>
      <c r="G106" s="14" t="inlineStr"/>
      <c r="H106" s="14" t="inlineStr">
        <is>
          <t>trs to aux cable</t>
        </is>
      </c>
    </row>
    <row r="107">
      <c r="A107" s="10" t="n">
        <v>46026</v>
      </c>
      <c r="B107" s="11" t="inlineStr">
        <is>
          <t>Radegast hall</t>
        </is>
      </c>
      <c r="C107" s="12" t="n">
        <v>20.3</v>
      </c>
      <c r="D107" s="11" t="inlineStr">
        <is>
          <t>Expense</t>
        </is>
      </c>
      <c r="E107" s="11" t="inlineStr">
        <is>
          <t>Misc</t>
        </is>
      </c>
      <c r="F107" s="11" t="inlineStr">
        <is>
          <t>Checking</t>
        </is>
      </c>
      <c r="G107" s="11" t="inlineStr"/>
      <c r="H107" s="11" t="inlineStr"/>
    </row>
    <row r="108">
      <c r="A108" s="13" t="n">
        <v>46026</v>
      </c>
      <c r="B108" s="14" t="inlineStr">
        <is>
          <t>Home Depot</t>
        </is>
      </c>
      <c r="C108" s="15" t="n">
        <v>18.4</v>
      </c>
      <c r="D108" s="14" t="inlineStr">
        <is>
          <t>Expense</t>
        </is>
      </c>
      <c r="E108" s="14" t="inlineStr">
        <is>
          <t>Home</t>
        </is>
      </c>
      <c r="F108" s="14" t="inlineStr">
        <is>
          <t>Checking</t>
        </is>
      </c>
      <c r="G108" s="14" t="inlineStr"/>
      <c r="H108" s="14" t="inlineStr"/>
    </row>
    <row r="109">
      <c r="A109" s="10" t="n">
        <v>46026</v>
      </c>
      <c r="B109" s="11" t="inlineStr">
        <is>
          <t>Dollar Store</t>
        </is>
      </c>
      <c r="C109" s="12" t="n">
        <v>20.65</v>
      </c>
      <c r="D109" s="11" t="inlineStr">
        <is>
          <t>Expense</t>
        </is>
      </c>
      <c r="E109" s="11" t="inlineStr">
        <is>
          <t>Misc</t>
        </is>
      </c>
      <c r="F109" s="11" t="inlineStr">
        <is>
          <t>Checking</t>
        </is>
      </c>
      <c r="G109" s="11" t="inlineStr"/>
      <c r="H109" s="11" t="inlineStr"/>
    </row>
    <row r="110">
      <c r="A110" s="13" t="n">
        <v>46023</v>
      </c>
      <c r="B110" s="14" t="inlineStr">
        <is>
          <t>Nook</t>
        </is>
      </c>
      <c r="C110" s="15" t="n">
        <v>7.8</v>
      </c>
      <c r="D110" s="14" t="inlineStr">
        <is>
          <t>Expense</t>
        </is>
      </c>
      <c r="E110" s="14" t="inlineStr">
        <is>
          <t>Misc</t>
        </is>
      </c>
      <c r="F110" s="14" t="inlineStr">
        <is>
          <t>Checking</t>
        </is>
      </c>
      <c r="G110" s="14" t="inlineStr"/>
      <c r="H110" s="14" t="inlineStr"/>
    </row>
    <row r="111">
      <c r="A111" s="10" t="n">
        <v>46023</v>
      </c>
      <c r="B111" s="11" t="inlineStr">
        <is>
          <t>Caraotas</t>
        </is>
      </c>
      <c r="C111" s="12" t="n">
        <v>50.36</v>
      </c>
      <c r="D111" s="11" t="inlineStr">
        <is>
          <t>Expense</t>
        </is>
      </c>
      <c r="E111" s="11" t="inlineStr">
        <is>
          <t>Dining</t>
        </is>
      </c>
      <c r="F111" s="11" t="inlineStr">
        <is>
          <t>Checking</t>
        </is>
      </c>
      <c r="G111" s="11" t="inlineStr"/>
      <c r="H111" s="11" t="inlineStr"/>
    </row>
    <row r="112">
      <c r="A112" s="13" t="n">
        <v>46023</v>
      </c>
      <c r="B112" s="14" t="inlineStr">
        <is>
          <t>Uber 1</t>
        </is>
      </c>
      <c r="C112" s="15" t="n">
        <v>12.99</v>
      </c>
      <c r="D112" s="14" t="inlineStr">
        <is>
          <t>Expense</t>
        </is>
      </c>
      <c r="E112" s="14" t="inlineStr">
        <is>
          <t>Transit</t>
        </is>
      </c>
      <c r="F112" s="14" t="inlineStr">
        <is>
          <t>Checking</t>
        </is>
      </c>
      <c r="G112" s="14" t="inlineStr"/>
      <c r="H112" s="14" t="inlineStr"/>
    </row>
    <row r="113">
      <c r="A113" s="10" t="n">
        <v>46023</v>
      </c>
      <c r="B113" s="11" t="inlineStr">
        <is>
          <t>Uber 2</t>
        </is>
      </c>
      <c r="C113" s="12" t="n">
        <v>20.61</v>
      </c>
      <c r="D113" s="11" t="inlineStr">
        <is>
          <t>Expense</t>
        </is>
      </c>
      <c r="E113" s="11" t="inlineStr">
        <is>
          <t>Transit</t>
        </is>
      </c>
      <c r="F113" s="11" t="inlineStr">
        <is>
          <t>Checking</t>
        </is>
      </c>
      <c r="G113" s="11" t="inlineStr"/>
      <c r="H113" s="11" t="inlineStr"/>
    </row>
    <row r="114">
      <c r="A114" s="13" t="n">
        <v>46023</v>
      </c>
      <c r="B114" s="14" t="inlineStr">
        <is>
          <t>Cat food + litter</t>
        </is>
      </c>
      <c r="C114" s="15" t="n">
        <v>51.06</v>
      </c>
      <c r="D114" s="14" t="inlineStr">
        <is>
          <t>Expense</t>
        </is>
      </c>
      <c r="E114" s="14" t="inlineStr">
        <is>
          <t>Grocery</t>
        </is>
      </c>
      <c r="F114" s="14" t="inlineStr">
        <is>
          <t>Checking</t>
        </is>
      </c>
      <c r="G114" s="14" t="inlineStr"/>
      <c r="H114" s="14" t="inlineStr"/>
    </row>
    <row r="115">
      <c r="A115" s="10" t="n">
        <v>46023</v>
      </c>
      <c r="B115" s="11" t="inlineStr">
        <is>
          <t>bodega</t>
        </is>
      </c>
      <c r="C115" s="12" t="n">
        <v>17.86</v>
      </c>
      <c r="D115" s="11" t="inlineStr">
        <is>
          <t>Expense</t>
        </is>
      </c>
      <c r="E115" s="11" t="inlineStr">
        <is>
          <t>Dining</t>
        </is>
      </c>
      <c r="F115" s="11" t="inlineStr">
        <is>
          <t>Checking</t>
        </is>
      </c>
      <c r="G115" s="11" t="inlineStr"/>
      <c r="H115" s="11" t="inlineStr"/>
    </row>
    <row r="116">
      <c r="A116" s="13" t="n">
        <v>46023</v>
      </c>
      <c r="B116" s="14" t="inlineStr">
        <is>
          <t>the craic</t>
        </is>
      </c>
      <c r="C116" s="15" t="n">
        <v>39.12</v>
      </c>
      <c r="D116" s="14" t="inlineStr">
        <is>
          <t>Expense</t>
        </is>
      </c>
      <c r="E116" s="14" t="inlineStr">
        <is>
          <t>Misc</t>
        </is>
      </c>
      <c r="F116" s="14" t="inlineStr">
        <is>
          <t>Checking</t>
        </is>
      </c>
      <c r="G116" s="14" t="inlineStr"/>
      <c r="H116" s="14" t="inlineStr"/>
    </row>
    <row r="117">
      <c r="A117" s="10" t="n">
        <v>46023</v>
      </c>
      <c r="B117" s="11" t="inlineStr">
        <is>
          <t>amazon</t>
        </is>
      </c>
      <c r="C117" s="12" t="n">
        <v>22.82</v>
      </c>
      <c r="D117" s="11" t="inlineStr">
        <is>
          <t>Expense</t>
        </is>
      </c>
      <c r="E117" s="11" t="inlineStr">
        <is>
          <t>Shopping</t>
        </is>
      </c>
      <c r="F117" s="11" t="inlineStr">
        <is>
          <t>Checking</t>
        </is>
      </c>
      <c r="G117" s="11" t="inlineStr"/>
      <c r="H117" s="11" t="inlineStr">
        <is>
          <t>adhesive + cable</t>
        </is>
      </c>
    </row>
    <row r="118">
      <c r="A118" s="13" t="n">
        <v>46023</v>
      </c>
      <c r="B118" s="14" t="inlineStr">
        <is>
          <t>Late to work bag</t>
        </is>
      </c>
      <c r="C118" s="15" t="n">
        <v>279.91</v>
      </c>
      <c r="D118" s="14" t="inlineStr">
        <is>
          <t>Expense</t>
        </is>
      </c>
      <c r="E118" s="14" t="inlineStr">
        <is>
          <t>Misc</t>
        </is>
      </c>
      <c r="F118" s="14" t="inlineStr">
        <is>
          <t>Checking</t>
        </is>
      </c>
      <c r="G118" s="14" t="inlineStr"/>
      <c r="H118" s="14" t="inlineStr"/>
    </row>
    <row r="119">
      <c r="A119" s="10" t="n">
        <v>46006</v>
      </c>
      <c r="B119" s="11" t="inlineStr">
        <is>
          <t>Shell</t>
        </is>
      </c>
      <c r="C119" s="12" t="n">
        <v>17.48</v>
      </c>
      <c r="D119" s="11" t="inlineStr">
        <is>
          <t>Expense</t>
        </is>
      </c>
      <c r="E119" s="11" t="inlineStr">
        <is>
          <t>Misc</t>
        </is>
      </c>
      <c r="F119" s="11" t="inlineStr">
        <is>
          <t>Checking</t>
        </is>
      </c>
      <c r="G119" s="11" t="inlineStr"/>
      <c r="H119" s="11" t="inlineStr"/>
    </row>
    <row r="120">
      <c r="A120" s="13" t="n">
        <v>46006</v>
      </c>
      <c r="B120" s="14" t="inlineStr">
        <is>
          <t>Nectar</t>
        </is>
      </c>
      <c r="C120" s="15" t="n">
        <v>21.72</v>
      </c>
      <c r="D120" s="14" t="inlineStr">
        <is>
          <t>Expense</t>
        </is>
      </c>
      <c r="E120" s="14" t="inlineStr">
        <is>
          <t>Misc</t>
        </is>
      </c>
      <c r="F120" s="14" t="inlineStr">
        <is>
          <t>Checking</t>
        </is>
      </c>
      <c r="G120" s="14" t="inlineStr"/>
      <c r="H120" s="14" t="inlineStr"/>
    </row>
    <row r="121">
      <c r="A121" s="10" t="n">
        <v>46006</v>
      </c>
      <c r="B121" s="11" t="inlineStr">
        <is>
          <t>ATM</t>
        </is>
      </c>
      <c r="C121" s="12" t="n">
        <v>23</v>
      </c>
      <c r="D121" s="11" t="inlineStr">
        <is>
          <t>Expense</t>
        </is>
      </c>
      <c r="E121" s="11" t="inlineStr">
        <is>
          <t>Transfer</t>
        </is>
      </c>
      <c r="F121" s="11" t="inlineStr">
        <is>
          <t>Checking</t>
        </is>
      </c>
      <c r="G121" s="11" t="inlineStr"/>
      <c r="H121" s="11" t="inlineStr"/>
    </row>
    <row r="122">
      <c r="A122" s="13" t="n">
        <v>46005</v>
      </c>
      <c r="B122" s="14" t="inlineStr">
        <is>
          <t>McDonalds</t>
        </is>
      </c>
      <c r="C122" s="15" t="n">
        <v>6.45</v>
      </c>
      <c r="D122" s="14" t="inlineStr">
        <is>
          <t>Expense</t>
        </is>
      </c>
      <c r="E122" s="14" t="inlineStr">
        <is>
          <t>Dining</t>
        </is>
      </c>
      <c r="F122" s="14" t="inlineStr">
        <is>
          <t>Checking</t>
        </is>
      </c>
      <c r="G122" s="14" t="inlineStr"/>
      <c r="H122" s="14" t="inlineStr"/>
    </row>
    <row r="123">
      <c r="A123" s="10" t="n">
        <v>46005</v>
      </c>
      <c r="B123" s="11" t="inlineStr">
        <is>
          <t>Dose</t>
        </is>
      </c>
      <c r="C123" s="12" t="n">
        <v>7.58</v>
      </c>
      <c r="D123" s="11" t="inlineStr">
        <is>
          <t>Expense</t>
        </is>
      </c>
      <c r="E123" s="11" t="inlineStr">
        <is>
          <t>Misc</t>
        </is>
      </c>
      <c r="F123" s="11" t="inlineStr">
        <is>
          <t>Checking</t>
        </is>
      </c>
      <c r="G123" s="11" t="inlineStr"/>
      <c r="H123" s="11" t="inlineStr"/>
    </row>
    <row r="124">
      <c r="A124" s="13" t="n">
        <v>46005</v>
      </c>
      <c r="B124" s="14" t="inlineStr">
        <is>
          <t>Play</t>
        </is>
      </c>
      <c r="C124" s="15" t="n">
        <v>13.12</v>
      </c>
      <c r="D124" s="14" t="inlineStr">
        <is>
          <t>Expense</t>
        </is>
      </c>
      <c r="E124" s="14" t="inlineStr">
        <is>
          <t>Misc</t>
        </is>
      </c>
      <c r="F124" s="14" t="inlineStr">
        <is>
          <t>Checking</t>
        </is>
      </c>
      <c r="G124" s="14" t="inlineStr"/>
      <c r="H124" s="14" t="inlineStr"/>
    </row>
    <row r="125">
      <c r="A125" s="10" t="n">
        <v>46005</v>
      </c>
      <c r="B125" s="11" t="inlineStr">
        <is>
          <t>Eastside Bowl</t>
        </is>
      </c>
      <c r="C125" s="12" t="n">
        <v>14.7</v>
      </c>
      <c r="D125" s="11" t="inlineStr">
        <is>
          <t>Expense</t>
        </is>
      </c>
      <c r="E125" s="11" t="inlineStr">
        <is>
          <t>Misc</t>
        </is>
      </c>
      <c r="F125" s="11" t="inlineStr">
        <is>
          <t>Checking</t>
        </is>
      </c>
      <c r="G125" s="11" t="inlineStr"/>
      <c r="H125" s="11" t="inlineStr"/>
    </row>
    <row r="126">
      <c r="A126" s="13" t="n">
        <v>46004</v>
      </c>
      <c r="B126" s="14" t="inlineStr">
        <is>
          <t>Turnip Truck</t>
        </is>
      </c>
      <c r="C126" s="15" t="n">
        <v>14.25</v>
      </c>
      <c r="D126" s="14" t="inlineStr">
        <is>
          <t>Expense</t>
        </is>
      </c>
      <c r="E126" s="14" t="inlineStr">
        <is>
          <t>Misc</t>
        </is>
      </c>
      <c r="F126" s="14" t="inlineStr">
        <is>
          <t>Checking</t>
        </is>
      </c>
      <c r="G126" s="14" t="inlineStr"/>
      <c r="H126" s="14" t="inlineStr"/>
    </row>
    <row r="127">
      <c r="A127" s="10" t="n">
        <v>46004</v>
      </c>
      <c r="B127" s="11" t="inlineStr">
        <is>
          <t>WeGo</t>
        </is>
      </c>
      <c r="C127" s="12" t="n">
        <v>2</v>
      </c>
      <c r="D127" s="11" t="inlineStr">
        <is>
          <t>Expense</t>
        </is>
      </c>
      <c r="E127" s="11" t="inlineStr">
        <is>
          <t>Transit</t>
        </is>
      </c>
      <c r="F127" s="11" t="inlineStr">
        <is>
          <t>Checking</t>
        </is>
      </c>
      <c r="G127" s="11" t="inlineStr"/>
      <c r="H127" s="11" t="inlineStr"/>
    </row>
    <row r="128">
      <c r="A128" s="13" t="n">
        <v>46004</v>
      </c>
      <c r="B128" s="14" t="inlineStr">
        <is>
          <t>Something</t>
        </is>
      </c>
      <c r="C128" s="15" t="n">
        <v>5.26</v>
      </c>
      <c r="D128" s="14" t="inlineStr">
        <is>
          <t>Expense</t>
        </is>
      </c>
      <c r="E128" s="14" t="inlineStr">
        <is>
          <t>Misc</t>
        </is>
      </c>
      <c r="F128" s="14" t="inlineStr">
        <is>
          <t>Checking</t>
        </is>
      </c>
      <c r="G128" s="14" t="inlineStr"/>
      <c r="H128" s="14" t="inlineStr"/>
    </row>
    <row r="129">
      <c r="A129" s="10" t="n">
        <v>46004</v>
      </c>
      <c r="B129" s="11" t="inlineStr">
        <is>
          <t>Parking</t>
        </is>
      </c>
      <c r="C129" s="12" t="n">
        <v>6</v>
      </c>
      <c r="D129" s="11" t="inlineStr">
        <is>
          <t>Expense</t>
        </is>
      </c>
      <c r="E129" s="11" t="inlineStr">
        <is>
          <t>Misc</t>
        </is>
      </c>
      <c r="F129" s="11" t="inlineStr">
        <is>
          <t>Checking</t>
        </is>
      </c>
      <c r="G129" s="11" t="inlineStr"/>
      <c r="H129" s="11" t="inlineStr"/>
    </row>
    <row r="130">
      <c r="A130" s="13" t="n">
        <v>46003</v>
      </c>
      <c r="B130" s="14" t="inlineStr">
        <is>
          <t>Tower</t>
        </is>
      </c>
      <c r="C130" s="15" t="n">
        <v>7.14</v>
      </c>
      <c r="D130" s="14" t="inlineStr">
        <is>
          <t>Expense</t>
        </is>
      </c>
      <c r="E130" s="14" t="inlineStr">
        <is>
          <t>Entertainment</t>
        </is>
      </c>
      <c r="F130" s="14" t="inlineStr">
        <is>
          <t>Checking</t>
        </is>
      </c>
      <c r="G130" s="14" t="inlineStr"/>
      <c r="H130" s="14" t="inlineStr"/>
    </row>
    <row r="131">
      <c r="A131" s="10" t="n">
        <v>46003</v>
      </c>
      <c r="B131" s="11" t="inlineStr">
        <is>
          <t>Retrograde</t>
        </is>
      </c>
      <c r="C131" s="12" t="n">
        <v>8.31</v>
      </c>
      <c r="D131" s="11" t="inlineStr">
        <is>
          <t>Expense</t>
        </is>
      </c>
      <c r="E131" s="11" t="inlineStr">
        <is>
          <t>Misc</t>
        </is>
      </c>
      <c r="F131" s="11" t="inlineStr">
        <is>
          <t>Checking</t>
        </is>
      </c>
      <c r="G131" s="11" t="inlineStr"/>
      <c r="H131" s="11" t="inlineStr"/>
    </row>
    <row r="132">
      <c r="A132" s="13" t="n">
        <v>46003</v>
      </c>
      <c r="B132" s="14" t="inlineStr">
        <is>
          <t>Mcdonalds</t>
        </is>
      </c>
      <c r="C132" s="15" t="n">
        <v>9.41</v>
      </c>
      <c r="D132" s="14" t="inlineStr">
        <is>
          <t>Expense</t>
        </is>
      </c>
      <c r="E132" s="14" t="inlineStr">
        <is>
          <t>Dining</t>
        </is>
      </c>
      <c r="F132" s="14" t="inlineStr">
        <is>
          <t>Checking</t>
        </is>
      </c>
      <c r="G132" s="14" t="inlineStr"/>
      <c r="H132" s="14" t="inlineStr"/>
    </row>
    <row r="133">
      <c r="A133" s="10" t="n">
        <v>46003</v>
      </c>
      <c r="B133" s="11" t="inlineStr">
        <is>
          <t>Low Bar</t>
        </is>
      </c>
      <c r="C133" s="12" t="n">
        <v>10.86</v>
      </c>
      <c r="D133" s="11" t="inlineStr">
        <is>
          <t>Expense</t>
        </is>
      </c>
      <c r="E133" s="11" t="inlineStr">
        <is>
          <t>Misc</t>
        </is>
      </c>
      <c r="F133" s="11" t="inlineStr">
        <is>
          <t>Checking</t>
        </is>
      </c>
      <c r="G133" s="11" t="inlineStr"/>
      <c r="H133" s="11" t="inlineStr"/>
    </row>
    <row r="134">
      <c r="A134" s="13" t="n">
        <v>46002</v>
      </c>
      <c r="B134" s="14" t="inlineStr">
        <is>
          <t>Mcdonalds</t>
        </is>
      </c>
      <c r="C134" s="15" t="n">
        <v>9.73</v>
      </c>
      <c r="D134" s="14" t="inlineStr">
        <is>
          <t>Expense</t>
        </is>
      </c>
      <c r="E134" s="14" t="inlineStr">
        <is>
          <t>Dining</t>
        </is>
      </c>
      <c r="F134" s="14" t="inlineStr">
        <is>
          <t>Checking</t>
        </is>
      </c>
      <c r="G134" s="14" t="inlineStr"/>
      <c r="H134" s="14" t="inlineStr"/>
    </row>
    <row r="135">
      <c r="A135" s="10" t="n">
        <v>46002</v>
      </c>
      <c r="B135" s="11" t="inlineStr">
        <is>
          <t>Tower</t>
        </is>
      </c>
      <c r="C135" s="12" t="n">
        <v>11.57</v>
      </c>
      <c r="D135" s="11" t="inlineStr">
        <is>
          <t>Expense</t>
        </is>
      </c>
      <c r="E135" s="11" t="inlineStr">
        <is>
          <t>Entertainment</t>
        </is>
      </c>
      <c r="F135" s="11" t="inlineStr">
        <is>
          <t>Checking</t>
        </is>
      </c>
      <c r="G135" s="11" t="inlineStr"/>
      <c r="H135" s="11" t="inlineStr"/>
    </row>
    <row r="136">
      <c r="A136" s="13" t="n">
        <v>46002</v>
      </c>
      <c r="B136" s="14" t="inlineStr">
        <is>
          <t>Radish</t>
        </is>
      </c>
      <c r="C136" s="15" t="n">
        <v>17.46</v>
      </c>
      <c r="D136" s="14" t="inlineStr">
        <is>
          <t>Expense</t>
        </is>
      </c>
      <c r="E136" s="14" t="inlineStr">
        <is>
          <t>Misc</t>
        </is>
      </c>
      <c r="F136" s="14" t="inlineStr">
        <is>
          <t>Checking</t>
        </is>
      </c>
      <c r="G136" s="14" t="inlineStr"/>
      <c r="H136" s="14" t="inlineStr"/>
    </row>
    <row r="137">
      <c r="A137" s="10" t="n">
        <v>46002</v>
      </c>
      <c r="B137" s="11" t="inlineStr">
        <is>
          <t>Uber</t>
        </is>
      </c>
      <c r="C137" s="12" t="n">
        <v>16.16</v>
      </c>
      <c r="D137" s="11" t="inlineStr">
        <is>
          <t>Expense</t>
        </is>
      </c>
      <c r="E137" s="11" t="inlineStr">
        <is>
          <t>Transit</t>
        </is>
      </c>
      <c r="F137" s="11" t="inlineStr">
        <is>
          <t>Checking</t>
        </is>
      </c>
      <c r="G137" s="11" t="inlineStr"/>
      <c r="H137" s="11" t="inlineStr"/>
    </row>
    <row r="138">
      <c r="A138" s="13" t="n">
        <v>46001</v>
      </c>
      <c r="B138" s="14" t="inlineStr">
        <is>
          <t>Lyft</t>
        </is>
      </c>
      <c r="C138" s="15" t="n">
        <v>7</v>
      </c>
      <c r="D138" s="14" t="inlineStr">
        <is>
          <t>Expense</t>
        </is>
      </c>
      <c r="E138" s="14" t="inlineStr">
        <is>
          <t>Transit</t>
        </is>
      </c>
      <c r="F138" s="14" t="inlineStr">
        <is>
          <t>Checking</t>
        </is>
      </c>
      <c r="G138" s="14" t="inlineStr"/>
      <c r="H138" s="14" t="inlineStr"/>
    </row>
    <row r="139">
      <c r="A139" s="10" t="n">
        <v>46001</v>
      </c>
      <c r="B139" s="11" t="inlineStr">
        <is>
          <t>Nashville WeGo</t>
        </is>
      </c>
      <c r="C139" s="12" t="n">
        <v>6</v>
      </c>
      <c r="D139" s="11" t="inlineStr">
        <is>
          <t>Expense</t>
        </is>
      </c>
      <c r="E139" s="11" t="inlineStr">
        <is>
          <t>Transit</t>
        </is>
      </c>
      <c r="F139" s="11" t="inlineStr">
        <is>
          <t>Checking</t>
        </is>
      </c>
      <c r="G139" s="11" t="inlineStr"/>
      <c r="H139" s="11" t="inlineStr"/>
    </row>
    <row r="140">
      <c r="A140" s="13" t="n">
        <v>46001</v>
      </c>
      <c r="B140" s="14" t="inlineStr">
        <is>
          <t>The Horn Cafe</t>
        </is>
      </c>
      <c r="C140" s="15" t="n">
        <v>7.09</v>
      </c>
      <c r="D140" s="14" t="inlineStr">
        <is>
          <t>Expense</t>
        </is>
      </c>
      <c r="E140" s="14" t="inlineStr">
        <is>
          <t>Dining</t>
        </is>
      </c>
      <c r="F140" s="14" t="inlineStr">
        <is>
          <t>Checking</t>
        </is>
      </c>
      <c r="G140" s="14" t="inlineStr"/>
      <c r="H140" s="14" t="inlineStr"/>
    </row>
    <row r="141">
      <c r="A141" s="10" t="n">
        <v>46001</v>
      </c>
      <c r="B141" s="11" t="inlineStr">
        <is>
          <t>Kyuramen</t>
        </is>
      </c>
      <c r="C141" s="12" t="n">
        <v>36.23</v>
      </c>
      <c r="D141" s="11" t="inlineStr">
        <is>
          <t>Expense</t>
        </is>
      </c>
      <c r="E141" s="11" t="inlineStr">
        <is>
          <t>Misc</t>
        </is>
      </c>
      <c r="F141" s="11" t="inlineStr">
        <is>
          <t>Checking</t>
        </is>
      </c>
      <c r="G141" s="11" t="inlineStr"/>
      <c r="H141" s="11" t="inlineStr"/>
    </row>
    <row r="142">
      <c r="A142" s="13" t="n">
        <v>46001</v>
      </c>
      <c r="B142" s="14" t="inlineStr">
        <is>
          <t>Mama Bread</t>
        </is>
      </c>
      <c r="C142" s="15" t="n">
        <v>8.73</v>
      </c>
      <c r="D142" s="14" t="inlineStr">
        <is>
          <t>Expense</t>
        </is>
      </c>
      <c r="E142" s="14" t="inlineStr">
        <is>
          <t>Misc</t>
        </is>
      </c>
      <c r="F142" s="14" t="inlineStr">
        <is>
          <t>Checking</t>
        </is>
      </c>
      <c r="G142" s="14" t="inlineStr"/>
      <c r="H142" s="14" t="inlineStr"/>
    </row>
    <row r="143">
      <c r="A143" s="10" t="n">
        <v>46001</v>
      </c>
      <c r="B143" s="11" t="inlineStr">
        <is>
          <t>Van Leeuwen</t>
        </is>
      </c>
      <c r="C143" s="12" t="n">
        <v>8.24</v>
      </c>
      <c r="D143" s="11" t="inlineStr">
        <is>
          <t>Expense</t>
        </is>
      </c>
      <c r="E143" s="11" t="inlineStr">
        <is>
          <t>Misc</t>
        </is>
      </c>
      <c r="F143" s="11" t="inlineStr">
        <is>
          <t>Checking</t>
        </is>
      </c>
      <c r="G143" s="11" t="inlineStr"/>
      <c r="H143" s="11" t="inlineStr"/>
    </row>
    <row r="144">
      <c r="A144" s="13" t="n">
        <v>46001</v>
      </c>
      <c r="B144" s="14" t="inlineStr">
        <is>
          <t>Belcourt Theatre</t>
        </is>
      </c>
      <c r="C144" s="15" t="n">
        <v>27</v>
      </c>
      <c r="D144" s="14" t="inlineStr">
        <is>
          <t>Expense</t>
        </is>
      </c>
      <c r="E144" s="14" t="inlineStr">
        <is>
          <t>Misc</t>
        </is>
      </c>
      <c r="F144" s="14" t="inlineStr">
        <is>
          <t>Checking</t>
        </is>
      </c>
      <c r="G144" s="14" t="inlineStr"/>
      <c r="H144" s="14" t="inlineStr"/>
    </row>
    <row r="145">
      <c r="A145" s="10" t="n">
        <v>46001</v>
      </c>
      <c r="B145" s="11" t="inlineStr">
        <is>
          <t>Groceries bar</t>
        </is>
      </c>
      <c r="C145" s="12" t="n">
        <v>45</v>
      </c>
      <c r="D145" s="11" t="inlineStr">
        <is>
          <t>Expense</t>
        </is>
      </c>
      <c r="E145" s="11" t="inlineStr">
        <is>
          <t>Misc</t>
        </is>
      </c>
      <c r="F145" s="11" t="inlineStr">
        <is>
          <t>Checking</t>
        </is>
      </c>
      <c r="G145" s="11" t="inlineStr"/>
      <c r="H145" s="11" t="inlineStr"/>
    </row>
    <row r="146">
      <c r="A146" s="13" t="n">
        <v>46000</v>
      </c>
      <c r="B146" s="14" t="inlineStr">
        <is>
          <t>Paypal payment</t>
        </is>
      </c>
      <c r="C146" s="15" t="n">
        <v>24</v>
      </c>
      <c r="D146" s="14" t="inlineStr">
        <is>
          <t>Transfer</t>
        </is>
      </c>
      <c r="E146" s="14" t="inlineStr">
        <is>
          <t>Transfer</t>
        </is>
      </c>
      <c r="F146" s="14" t="inlineStr">
        <is>
          <t>Checking</t>
        </is>
      </c>
      <c r="G146" s="14" t="inlineStr"/>
      <c r="H146" s="14" t="inlineStr"/>
    </row>
    <row r="147">
      <c r="A147" s="10" t="n">
        <v>46000</v>
      </c>
      <c r="B147" s="11" t="inlineStr">
        <is>
          <t>Uber from ai</t>
        </is>
      </c>
      <c r="C147" s="12" t="n">
        <v>21</v>
      </c>
      <c r="D147" s="11" t="inlineStr">
        <is>
          <t>Expense</t>
        </is>
      </c>
      <c r="E147" s="11" t="inlineStr">
        <is>
          <t>Transit</t>
        </is>
      </c>
      <c r="F147" s="11" t="inlineStr">
        <is>
          <t>Checking</t>
        </is>
      </c>
      <c r="G147" s="11" t="inlineStr"/>
      <c r="H147" s="11" t="inlineStr"/>
    </row>
    <row r="148">
      <c r="A148" s="13" t="n">
        <v>46000</v>
      </c>
      <c r="B148" s="14" t="inlineStr">
        <is>
          <t>Turo car rental</t>
        </is>
      </c>
      <c r="C148" s="15" t="n">
        <v>408</v>
      </c>
      <c r="D148" s="14" t="inlineStr">
        <is>
          <t>Expense</t>
        </is>
      </c>
      <c r="E148" s="14" t="inlineStr">
        <is>
          <t>Rent</t>
        </is>
      </c>
      <c r="F148" s="14" t="inlineStr">
        <is>
          <t>Checking</t>
        </is>
      </c>
      <c r="G148" s="14" t="inlineStr"/>
      <c r="H148" s="14" t="inlineStr"/>
    </row>
    <row r="149">
      <c r="A149" s="10" t="n">
        <v>46000</v>
      </c>
      <c r="B149" s="11" t="inlineStr">
        <is>
          <t>Uber holiday party 1</t>
        </is>
      </c>
      <c r="C149" s="12" t="n">
        <v>8</v>
      </c>
      <c r="D149" s="11" t="inlineStr">
        <is>
          <t>Expense</t>
        </is>
      </c>
      <c r="E149" s="11" t="inlineStr">
        <is>
          <t>Transit</t>
        </is>
      </c>
      <c r="F149" s="11" t="inlineStr">
        <is>
          <t>Checking</t>
        </is>
      </c>
      <c r="G149" s="11" t="inlineStr"/>
      <c r="H149" s="11" t="inlineStr"/>
    </row>
    <row r="150">
      <c r="A150" s="13" t="n">
        <v>46000</v>
      </c>
      <c r="B150" s="14" t="inlineStr">
        <is>
          <t>Uber holiday party 2</t>
        </is>
      </c>
      <c r="C150" s="15" t="n">
        <v>7</v>
      </c>
      <c r="D150" s="14" t="inlineStr">
        <is>
          <t>Expense</t>
        </is>
      </c>
      <c r="E150" s="14" t="inlineStr">
        <is>
          <t>Transit</t>
        </is>
      </c>
      <c r="F150" s="14" t="inlineStr">
        <is>
          <t>Checking</t>
        </is>
      </c>
      <c r="G150" s="14" t="inlineStr"/>
      <c r="H150" s="14" t="inlineStr"/>
    </row>
    <row r="151">
      <c r="A151" s="10" t="n">
        <v>46000</v>
      </c>
      <c r="B151" s="11" t="inlineStr">
        <is>
          <t>Taco Bell</t>
        </is>
      </c>
      <c r="C151" s="12" t="n">
        <v>18</v>
      </c>
      <c r="D151" s="11" t="inlineStr">
        <is>
          <t>Expense</t>
        </is>
      </c>
      <c r="E151" s="11" t="inlineStr">
        <is>
          <t>Misc</t>
        </is>
      </c>
      <c r="F151" s="11" t="inlineStr">
        <is>
          <t>Checking</t>
        </is>
      </c>
      <c r="G151" s="11" t="inlineStr"/>
      <c r="H151" s="11" t="inlineStr"/>
    </row>
    <row r="152">
      <c r="A152" s="13" t="n">
        <v>45999</v>
      </c>
      <c r="B152" s="14" t="inlineStr">
        <is>
          <t>LGA Airport food</t>
        </is>
      </c>
      <c r="C152" s="15" t="n">
        <v>12</v>
      </c>
      <c r="D152" s="14" t="inlineStr">
        <is>
          <t>Expense</t>
        </is>
      </c>
      <c r="E152" s="14" t="inlineStr">
        <is>
          <t>Misc</t>
        </is>
      </c>
      <c r="F152" s="14" t="inlineStr">
        <is>
          <t>Checking</t>
        </is>
      </c>
      <c r="G152" s="14" t="inlineStr"/>
      <c r="H152" s="14" t="inlineStr"/>
    </row>
    <row r="153">
      <c r="A153" s="10" t="n">
        <v>45999</v>
      </c>
      <c r="B153" s="11" t="inlineStr">
        <is>
          <t>Barista Parlor</t>
        </is>
      </c>
      <c r="C153" s="12" t="n">
        <v>8</v>
      </c>
      <c r="D153" s="11" t="inlineStr">
        <is>
          <t>Expense</t>
        </is>
      </c>
      <c r="E153" s="11" t="inlineStr">
        <is>
          <t>Misc</t>
        </is>
      </c>
      <c r="F153" s="11" t="inlineStr">
        <is>
          <t>Checking</t>
        </is>
      </c>
      <c r="G153" s="11" t="inlineStr"/>
      <c r="H153" s="11" t="inlineStr"/>
    </row>
    <row r="154">
      <c r="A154" s="13" t="n">
        <v>45999</v>
      </c>
      <c r="B154" s="14" t="inlineStr">
        <is>
          <t>Goodwill</t>
        </is>
      </c>
      <c r="C154" s="15" t="n">
        <v>17</v>
      </c>
      <c r="D154" s="14" t="inlineStr">
        <is>
          <t>Expense</t>
        </is>
      </c>
      <c r="E154" s="14" t="inlineStr">
        <is>
          <t>Misc</t>
        </is>
      </c>
      <c r="F154" s="14" t="inlineStr">
        <is>
          <t>Checking</t>
        </is>
      </c>
      <c r="G154" s="14" t="inlineStr"/>
      <c r="H154" s="14" t="inlineStr"/>
    </row>
    <row r="155">
      <c r="A155" s="10" t="n">
        <v>45999</v>
      </c>
      <c r="B155" s="11" t="inlineStr">
        <is>
          <t>Sprouts</t>
        </is>
      </c>
      <c r="C155" s="12" t="n">
        <v>25</v>
      </c>
      <c r="D155" s="11" t="inlineStr">
        <is>
          <t>Expense</t>
        </is>
      </c>
      <c r="E155" s="11" t="inlineStr">
        <is>
          <t>Misc</t>
        </is>
      </c>
      <c r="F155" s="11" t="inlineStr">
        <is>
          <t>Checking</t>
        </is>
      </c>
      <c r="G155" s="11" t="inlineStr"/>
      <c r="H155" s="11" t="inlineStr"/>
    </row>
    <row r="156">
      <c r="A156" s="13" t="n">
        <v>45999</v>
      </c>
      <c r="B156" s="14" t="inlineStr">
        <is>
          <t>Dollar general</t>
        </is>
      </c>
      <c r="C156" s="15" t="n">
        <v>9</v>
      </c>
      <c r="D156" s="14" t="inlineStr">
        <is>
          <t>Expense</t>
        </is>
      </c>
      <c r="E156" s="14" t="inlineStr">
        <is>
          <t>Misc</t>
        </is>
      </c>
      <c r="F156" s="14" t="inlineStr">
        <is>
          <t>Checking</t>
        </is>
      </c>
      <c r="G156" s="14" t="inlineStr"/>
      <c r="H156" s="14" t="inlineStr"/>
    </row>
    <row r="157">
      <c r="A157" s="10" t="n">
        <v>45999</v>
      </c>
      <c r="B157" s="11" t="inlineStr">
        <is>
          <t>Osa Coffe</t>
        </is>
      </c>
      <c r="C157" s="12" t="n">
        <v>10.1</v>
      </c>
      <c r="D157" s="11" t="inlineStr">
        <is>
          <t>Expense</t>
        </is>
      </c>
      <c r="E157" s="11" t="inlineStr">
        <is>
          <t>Misc</t>
        </is>
      </c>
      <c r="F157" s="11" t="inlineStr">
        <is>
          <t>Checking</t>
        </is>
      </c>
      <c r="G157" s="11" t="inlineStr"/>
      <c r="H157" s="11" t="inlineStr"/>
    </row>
    <row r="158">
      <c r="A158" s="13" t="n">
        <v>45998</v>
      </c>
      <c r="B158" s="14" t="inlineStr">
        <is>
          <t>Publix</t>
        </is>
      </c>
      <c r="C158" s="15" t="n">
        <v>41.12</v>
      </c>
      <c r="D158" s="14" t="inlineStr">
        <is>
          <t>Expense</t>
        </is>
      </c>
      <c r="E158" s="14" t="inlineStr">
        <is>
          <t>Misc</t>
        </is>
      </c>
      <c r="F158" s="14" t="inlineStr">
        <is>
          <t>Checking</t>
        </is>
      </c>
      <c r="G158" s="14" t="inlineStr"/>
      <c r="H158" s="14" t="inlineStr"/>
    </row>
    <row r="159">
      <c r="A159" s="10" t="n">
        <v>45996</v>
      </c>
      <c r="B159" s="11" t="inlineStr">
        <is>
          <t>Uber to LH Nashville</t>
        </is>
      </c>
      <c r="C159" s="12" t="n">
        <v>21</v>
      </c>
      <c r="D159" s="11" t="inlineStr">
        <is>
          <t>Expense</t>
        </is>
      </c>
      <c r="E159" s="11" t="inlineStr">
        <is>
          <t>Transit</t>
        </is>
      </c>
      <c r="F159" s="11" t="inlineStr">
        <is>
          <t>Checking</t>
        </is>
      </c>
      <c r="G159" s="11" t="inlineStr"/>
      <c r="H159" s="11" t="inlineStr"/>
    </row>
    <row r="160">
      <c r="A160" s="13" t="n">
        <v>45995</v>
      </c>
      <c r="B160" s="14" t="inlineStr">
        <is>
          <t>Glasses Appt</t>
        </is>
      </c>
      <c r="C160" s="15" t="n">
        <v>319.2</v>
      </c>
      <c r="D160" s="14" t="inlineStr">
        <is>
          <t>Expense</t>
        </is>
      </c>
      <c r="E160" s="14" t="inlineStr">
        <is>
          <t>Misc</t>
        </is>
      </c>
      <c r="F160" s="14" t="inlineStr">
        <is>
          <t>Apple Card</t>
        </is>
      </c>
      <c r="G160" s="14" t="inlineStr">
        <is>
          <t>Roberto</t>
        </is>
      </c>
      <c r="H160" s="14" t="inlineStr"/>
    </row>
    <row r="161">
      <c r="A161" s="10" t="n">
        <v>45994</v>
      </c>
      <c r="B161" s="11" t="inlineStr">
        <is>
          <t>Bass Guitar Repair</t>
        </is>
      </c>
      <c r="C161" s="12" t="n">
        <v>150</v>
      </c>
      <c r="D161" s="11" t="inlineStr">
        <is>
          <t>Expense</t>
        </is>
      </c>
      <c r="E161" s="11" t="inlineStr">
        <is>
          <t>Misc</t>
        </is>
      </c>
      <c r="F161" s="11" t="inlineStr">
        <is>
          <t>Checking</t>
        </is>
      </c>
      <c r="G161" s="11" t="inlineStr">
        <is>
          <t>Roberto</t>
        </is>
      </c>
      <c r="H161" s="11" t="inlineStr"/>
    </row>
    <row r="162">
      <c r="A162" s="13" t="n">
        <v>45993</v>
      </c>
      <c r="B162" s="14" t="inlineStr">
        <is>
          <t>Animal (Bar)</t>
        </is>
      </c>
      <c r="C162" s="15" t="n">
        <v>12</v>
      </c>
      <c r="D162" s="14" t="inlineStr">
        <is>
          <t>Expense</t>
        </is>
      </c>
      <c r="E162" s="14" t="inlineStr">
        <is>
          <t>Misc</t>
        </is>
      </c>
      <c r="F162" s="14" t="inlineStr">
        <is>
          <t>Checking</t>
        </is>
      </c>
      <c r="G162" s="14" t="inlineStr">
        <is>
          <t>Roberto</t>
        </is>
      </c>
      <c r="H162" s="14" t="inlineStr"/>
    </row>
    <row r="163">
      <c r="A163" s="10" t="n">
        <v>45993</v>
      </c>
      <c r="B163" s="11" t="inlineStr">
        <is>
          <t>Bodega</t>
        </is>
      </c>
      <c r="C163" s="12" t="n">
        <v>8</v>
      </c>
      <c r="D163" s="11" t="inlineStr">
        <is>
          <t>Expense</t>
        </is>
      </c>
      <c r="E163" s="11" t="inlineStr">
        <is>
          <t>Dining</t>
        </is>
      </c>
      <c r="F163" s="11" t="inlineStr">
        <is>
          <t>Checking</t>
        </is>
      </c>
      <c r="G163" s="11" t="inlineStr">
        <is>
          <t>Roberto</t>
        </is>
      </c>
      <c r="H163" s="11" t="inlineStr"/>
    </row>
    <row r="164">
      <c r="A164" s="13" t="n">
        <v>45992</v>
      </c>
      <c r="B164" s="14" t="inlineStr">
        <is>
          <t>Curtains</t>
        </is>
      </c>
      <c r="C164" s="15" t="n">
        <v>80</v>
      </c>
      <c r="D164" s="14" t="inlineStr">
        <is>
          <t>Expense</t>
        </is>
      </c>
      <c r="E164" s="14" t="inlineStr">
        <is>
          <t>Misc</t>
        </is>
      </c>
      <c r="F164" s="14" t="inlineStr">
        <is>
          <t>Checking</t>
        </is>
      </c>
      <c r="G164" s="14" t="inlineStr">
        <is>
          <t>Roberto</t>
        </is>
      </c>
      <c r="H164" s="14" t="inlineStr"/>
    </row>
    <row r="165">
      <c r="A165" s="10" t="n">
        <v>45992</v>
      </c>
      <c r="B165" s="11" t="inlineStr">
        <is>
          <t>Adam T5v Monitors</t>
        </is>
      </c>
      <c r="C165" s="12" t="n">
        <v>270</v>
      </c>
      <c r="D165" s="11" t="inlineStr">
        <is>
          <t>Expense</t>
        </is>
      </c>
      <c r="E165" s="11" t="inlineStr">
        <is>
          <t>Misc</t>
        </is>
      </c>
      <c r="F165" s="11" t="inlineStr">
        <is>
          <t>Checking</t>
        </is>
      </c>
      <c r="G165" s="11" t="inlineStr">
        <is>
          <t>Roberto</t>
        </is>
      </c>
      <c r="H165" s="11" t="inlineStr"/>
    </row>
    <row r="166">
      <c r="A166" s="13" t="n">
        <v>45992</v>
      </c>
      <c r="B166" s="14" t="inlineStr">
        <is>
          <t>Grocery (Doordash)</t>
        </is>
      </c>
      <c r="C166" s="15" t="n">
        <v>58</v>
      </c>
      <c r="D166" s="14" t="inlineStr">
        <is>
          <t>Expense</t>
        </is>
      </c>
      <c r="E166" s="14" t="inlineStr">
        <is>
          <t>Grocery</t>
        </is>
      </c>
      <c r="F166" s="14" t="inlineStr">
        <is>
          <t>Checking</t>
        </is>
      </c>
      <c r="G166" s="14" t="inlineStr">
        <is>
          <t>Cliff/Roberto</t>
        </is>
      </c>
      <c r="H166" s="14" t="inlineStr">
        <is>
          <t>6x Thin Chicken Cutlets, 5x 12-ct eggs, 4x Mozzarella Cheese, 3x Almond Milk, 1x .5 gal Milk, 2x Multigrain, 10x Tuna, 2x Yogurt, 1 Honey, 2x Refried Beans | 10 days worth of groceries</t>
        </is>
      </c>
    </row>
    <row r="167">
      <c r="A167" s="10" t="n">
        <v>45989</v>
      </c>
      <c r="B167" s="11" t="inlineStr">
        <is>
          <t>TikTokShop</t>
        </is>
      </c>
      <c r="C167" s="12" t="n">
        <v>230</v>
      </c>
      <c r="D167" s="11" t="inlineStr">
        <is>
          <t>Expense</t>
        </is>
      </c>
      <c r="E167" s="11" t="inlineStr">
        <is>
          <t>Shopping</t>
        </is>
      </c>
      <c r="F167" s="11" t="inlineStr">
        <is>
          <t>Checking</t>
        </is>
      </c>
      <c r="G167" s="11" t="inlineStr">
        <is>
          <t>Roberto</t>
        </is>
      </c>
      <c r="H167" s="11" t="inlineStr"/>
    </row>
    <row r="168">
      <c r="A168" s="13" t="n">
        <v>45989</v>
      </c>
      <c r="B168" s="14" t="inlineStr">
        <is>
          <t>Blue Bottle Coffee</t>
        </is>
      </c>
      <c r="C168" s="15" t="n">
        <v>8.699999999999999</v>
      </c>
      <c r="D168" s="14" t="inlineStr">
        <is>
          <t>Expense</t>
        </is>
      </c>
      <c r="E168" s="14" t="inlineStr">
        <is>
          <t>Dining</t>
        </is>
      </c>
      <c r="F168" s="14" t="inlineStr">
        <is>
          <t>Checking</t>
        </is>
      </c>
      <c r="G168" s="14" t="inlineStr"/>
      <c r="H168" s="14" t="inlineStr"/>
    </row>
    <row r="169">
      <c r="A169" s="10" t="n">
        <v>45989</v>
      </c>
      <c r="B169" s="11" t="inlineStr">
        <is>
          <t>Dining Chairs</t>
        </is>
      </c>
      <c r="C169" s="12" t="n">
        <v>0</v>
      </c>
      <c r="D169" s="11" t="inlineStr">
        <is>
          <t>Expense</t>
        </is>
      </c>
      <c r="E169" s="11" t="inlineStr">
        <is>
          <t>Dining</t>
        </is>
      </c>
      <c r="F169" s="11" t="inlineStr">
        <is>
          <t>Checking</t>
        </is>
      </c>
      <c r="G169" s="11" t="inlineStr">
        <is>
          <t>Cliff/Roberto</t>
        </is>
      </c>
      <c r="H169" s="11" t="inlineStr"/>
    </row>
    <row r="170">
      <c r="A170" s="13" t="n">
        <v>45986</v>
      </c>
      <c r="B170" s="14" t="inlineStr">
        <is>
          <t>Amazon</t>
        </is>
      </c>
      <c r="C170" s="15" t="n">
        <v>24.81</v>
      </c>
      <c r="D170" s="14" t="inlineStr">
        <is>
          <t>Expense</t>
        </is>
      </c>
      <c r="E170" s="14" t="inlineStr">
        <is>
          <t>Shopping</t>
        </is>
      </c>
      <c r="F170" s="14" t="inlineStr">
        <is>
          <t>Checking</t>
        </is>
      </c>
      <c r="G170" s="14" t="inlineStr">
        <is>
          <t>Roberto</t>
        </is>
      </c>
      <c r="H170" s="14" t="inlineStr">
        <is>
          <t>Charger</t>
        </is>
      </c>
    </row>
    <row r="171">
      <c r="A171" s="10" t="n">
        <v>45986</v>
      </c>
      <c r="B171" s="11" t="inlineStr">
        <is>
          <t>GoFundmE</t>
        </is>
      </c>
      <c r="C171" s="12" t="n">
        <v>20</v>
      </c>
      <c r="D171" s="11" t="inlineStr">
        <is>
          <t>Expense</t>
        </is>
      </c>
      <c r="E171" s="11" t="inlineStr">
        <is>
          <t>Misc</t>
        </is>
      </c>
      <c r="F171" s="11" t="inlineStr">
        <is>
          <t>Checking</t>
        </is>
      </c>
      <c r="G171" s="11" t="inlineStr"/>
      <c r="H171" s="11" t="inlineStr"/>
    </row>
    <row r="172">
      <c r="A172" s="13" t="n">
        <v>45984</v>
      </c>
      <c r="B172" s="14" t="inlineStr">
        <is>
          <t>Amazon</t>
        </is>
      </c>
      <c r="C172" s="15" t="n">
        <v>175</v>
      </c>
      <c r="D172" s="14" t="inlineStr">
        <is>
          <t>Expense</t>
        </is>
      </c>
      <c r="E172" s="14" t="inlineStr">
        <is>
          <t>Shopping</t>
        </is>
      </c>
      <c r="F172" s="14" t="inlineStr">
        <is>
          <t>Checking</t>
        </is>
      </c>
      <c r="G172" s="14" t="inlineStr"/>
      <c r="H172" s="14" t="inlineStr">
        <is>
          <t>Mic stand, body oil, sweat pants, wallet, guitar holder, remote, glycolic acid</t>
        </is>
      </c>
    </row>
    <row r="173">
      <c r="A173" s="10" t="n">
        <v>45984</v>
      </c>
      <c r="B173" s="11" t="inlineStr">
        <is>
          <t>Melodyne</t>
        </is>
      </c>
      <c r="C173" s="12" t="n">
        <v>75</v>
      </c>
      <c r="D173" s="11" t="inlineStr">
        <is>
          <t>Expense</t>
        </is>
      </c>
      <c r="E173" s="11" t="inlineStr">
        <is>
          <t>Misc</t>
        </is>
      </c>
      <c r="F173" s="11" t="inlineStr">
        <is>
          <t>Checking</t>
        </is>
      </c>
      <c r="G173" s="11" t="inlineStr"/>
      <c r="H173" s="11" t="inlineStr">
        <is>
          <t>Used Sweetwater and Celemony</t>
        </is>
      </c>
    </row>
    <row r="174">
      <c r="A174" s="13" t="n">
        <v>45983</v>
      </c>
      <c r="B174" s="14" t="inlineStr">
        <is>
          <t>Wheelhouse</t>
        </is>
      </c>
      <c r="C174" s="15" t="n">
        <v>10.16</v>
      </c>
      <c r="D174" s="14" t="inlineStr">
        <is>
          <t>Expense</t>
        </is>
      </c>
      <c r="E174" s="14" t="inlineStr">
        <is>
          <t>Misc</t>
        </is>
      </c>
      <c r="F174" s="14" t="inlineStr">
        <is>
          <t>Bilt</t>
        </is>
      </c>
      <c r="G174" s="14" t="inlineStr"/>
      <c r="H174" s="14" t="inlineStr"/>
    </row>
    <row r="175">
      <c r="A175" s="10" t="n">
        <v>45982</v>
      </c>
      <c r="B175" s="11" t="inlineStr">
        <is>
          <t>Bodega</t>
        </is>
      </c>
      <c r="C175" s="12" t="n">
        <v>1.3</v>
      </c>
      <c r="D175" s="11" t="inlineStr">
        <is>
          <t>Expense</t>
        </is>
      </c>
      <c r="E175" s="11" t="inlineStr">
        <is>
          <t>Dining</t>
        </is>
      </c>
      <c r="F175" s="11" t="inlineStr">
        <is>
          <t>Checking</t>
        </is>
      </c>
      <c r="G175" s="11" t="inlineStr"/>
      <c r="H175" s="11" t="inlineStr"/>
    </row>
    <row r="176">
      <c r="A176" s="13" t="n">
        <v>45982</v>
      </c>
      <c r="B176" s="14" t="inlineStr">
        <is>
          <t>Bodega</t>
        </is>
      </c>
      <c r="C176" s="15" t="n">
        <v>2.6</v>
      </c>
      <c r="D176" s="14" t="inlineStr">
        <is>
          <t>Expense</t>
        </is>
      </c>
      <c r="E176" s="14" t="inlineStr">
        <is>
          <t>Dining</t>
        </is>
      </c>
      <c r="F176" s="14" t="inlineStr">
        <is>
          <t>Checking</t>
        </is>
      </c>
      <c r="G176" s="14" t="inlineStr"/>
      <c r="H176" s="14" t="inlineStr"/>
    </row>
    <row r="177">
      <c r="A177" s="10" t="n">
        <v>45982</v>
      </c>
      <c r="B177" s="11" t="inlineStr">
        <is>
          <t>Bodega</t>
        </is>
      </c>
      <c r="C177" s="12" t="n">
        <v>5.2</v>
      </c>
      <c r="D177" s="11" t="inlineStr">
        <is>
          <t>Expense</t>
        </is>
      </c>
      <c r="E177" s="11" t="inlineStr">
        <is>
          <t>Dining</t>
        </is>
      </c>
      <c r="F177" s="11" t="inlineStr">
        <is>
          <t>Checking</t>
        </is>
      </c>
      <c r="G177" s="11" t="inlineStr"/>
      <c r="H177" s="11" t="inlineStr"/>
    </row>
    <row r="178">
      <c r="A178" s="13" t="n">
        <v>45982</v>
      </c>
      <c r="B178" s="14" t="inlineStr">
        <is>
          <t>Bodega</t>
        </is>
      </c>
      <c r="C178" s="15" t="n">
        <v>6.24</v>
      </c>
      <c r="D178" s="14" t="inlineStr">
        <is>
          <t>Expense</t>
        </is>
      </c>
      <c r="E178" s="14" t="inlineStr">
        <is>
          <t>Dining</t>
        </is>
      </c>
      <c r="F178" s="14" t="inlineStr">
        <is>
          <t>Checking</t>
        </is>
      </c>
      <c r="G178" s="14" t="inlineStr"/>
      <c r="H178" s="14" t="inlineStr"/>
    </row>
    <row r="179">
      <c r="A179" s="10" t="n">
        <v>45982</v>
      </c>
      <c r="B179" s="11" t="inlineStr">
        <is>
          <t>Bodega</t>
        </is>
      </c>
      <c r="C179" s="12" t="n">
        <v>7.41</v>
      </c>
      <c r="D179" s="11" t="inlineStr">
        <is>
          <t>Expense</t>
        </is>
      </c>
      <c r="E179" s="11" t="inlineStr">
        <is>
          <t>Dining</t>
        </is>
      </c>
      <c r="F179" s="11" t="inlineStr">
        <is>
          <t>Checking</t>
        </is>
      </c>
      <c r="G179" s="11" t="inlineStr"/>
      <c r="H179" s="11" t="inlineStr"/>
    </row>
    <row r="180">
      <c r="A180" s="13" t="n">
        <v>45982</v>
      </c>
      <c r="B180" s="14" t="inlineStr">
        <is>
          <t>Key Food</t>
        </is>
      </c>
      <c r="C180" s="15" t="n">
        <v>4.69</v>
      </c>
      <c r="D180" s="14" t="inlineStr">
        <is>
          <t>Expense</t>
        </is>
      </c>
      <c r="E180" s="14" t="inlineStr">
        <is>
          <t>Misc</t>
        </is>
      </c>
      <c r="F180" s="14" t="inlineStr">
        <is>
          <t>Checking</t>
        </is>
      </c>
      <c r="G180" s="14" t="inlineStr"/>
      <c r="H180" s="14" t="inlineStr"/>
    </row>
    <row r="181">
      <c r="A181" s="10" t="n">
        <v>45982</v>
      </c>
      <c r="B181" s="11" t="inlineStr">
        <is>
          <t>Rosie's</t>
        </is>
      </c>
      <c r="C181" s="12" t="n">
        <v>13.06</v>
      </c>
      <c r="D181" s="11" t="inlineStr">
        <is>
          <t>Expense</t>
        </is>
      </c>
      <c r="E181" s="11" t="inlineStr">
        <is>
          <t>Misc</t>
        </is>
      </c>
      <c r="F181" s="11" t="inlineStr">
        <is>
          <t>Bilt</t>
        </is>
      </c>
      <c r="G181" s="11" t="inlineStr"/>
      <c r="H181" s="11" t="inlineStr"/>
    </row>
    <row r="182">
      <c r="A182" s="13" t="n">
        <v>45980</v>
      </c>
      <c r="B182" s="14" t="inlineStr">
        <is>
          <t>Bodega</t>
        </is>
      </c>
      <c r="C182" s="15" t="n">
        <v>6.24</v>
      </c>
      <c r="D182" s="14" t="inlineStr">
        <is>
          <t>Expense</t>
        </is>
      </c>
      <c r="E182" s="14" t="inlineStr">
        <is>
          <t>Dining</t>
        </is>
      </c>
      <c r="F182" s="14" t="inlineStr">
        <is>
          <t>Checking</t>
        </is>
      </c>
      <c r="G182" s="14" t="inlineStr"/>
      <c r="H182" s="14" t="inlineStr"/>
    </row>
    <row r="183">
      <c r="A183" s="10" t="n">
        <v>45980</v>
      </c>
      <c r="B183" s="11" t="inlineStr">
        <is>
          <t>City Fresh</t>
        </is>
      </c>
      <c r="C183" s="12" t="n">
        <v>20.97</v>
      </c>
      <c r="D183" s="11" t="inlineStr">
        <is>
          <t>Expense</t>
        </is>
      </c>
      <c r="E183" s="11" t="inlineStr">
        <is>
          <t>Grocery</t>
        </is>
      </c>
      <c r="F183" s="11" t="inlineStr">
        <is>
          <t>Checking</t>
        </is>
      </c>
      <c r="G183" s="11" t="inlineStr"/>
      <c r="H183" s="11" t="inlineStr">
        <is>
          <t>Bacon x3</t>
        </is>
      </c>
    </row>
    <row r="184">
      <c r="A184" s="13" t="n">
        <v>45979</v>
      </c>
      <c r="B184" s="14" t="inlineStr">
        <is>
          <t>Crossroads</t>
        </is>
      </c>
      <c r="C184" s="15" t="n">
        <v>7.62</v>
      </c>
      <c r="D184" s="14" t="inlineStr">
        <is>
          <t>Expense</t>
        </is>
      </c>
      <c r="E184" s="14" t="inlineStr">
        <is>
          <t>Misc</t>
        </is>
      </c>
      <c r="F184" s="14" t="inlineStr">
        <is>
          <t>Checking</t>
        </is>
      </c>
      <c r="G184" s="14" t="inlineStr"/>
      <c r="H184" s="14" t="inlineStr"/>
    </row>
    <row r="185">
      <c r="A185" s="10" t="n">
        <v>45979</v>
      </c>
      <c r="B185" s="11" t="inlineStr">
        <is>
          <t>Bodega</t>
        </is>
      </c>
      <c r="C185" s="12" t="n">
        <v>12.15</v>
      </c>
      <c r="D185" s="11" t="inlineStr">
        <is>
          <t>Expense</t>
        </is>
      </c>
      <c r="E185" s="11" t="inlineStr">
        <is>
          <t>Dining</t>
        </is>
      </c>
      <c r="F185" s="11" t="inlineStr">
        <is>
          <t>Checking</t>
        </is>
      </c>
      <c r="G185" s="11" t="inlineStr"/>
      <c r="H185" s="11" t="inlineStr"/>
    </row>
    <row r="186">
      <c r="A186" s="13" t="n">
        <v>45979</v>
      </c>
      <c r="B186" s="14" t="inlineStr">
        <is>
          <t>Grocery (Doordash)</t>
        </is>
      </c>
      <c r="C186" s="15" t="n">
        <v>45</v>
      </c>
      <c r="D186" s="14" t="inlineStr">
        <is>
          <t>Expense</t>
        </is>
      </c>
      <c r="E186" s="14" t="inlineStr">
        <is>
          <t>Grocery</t>
        </is>
      </c>
      <c r="F186" s="14" t="inlineStr">
        <is>
          <t>Checking</t>
        </is>
      </c>
      <c r="G186" s="14" t="inlineStr">
        <is>
          <t>Cliff/Roberto</t>
        </is>
      </c>
      <c r="H186" s="14" t="inlineStr">
        <is>
          <t>Total 89.61</t>
        </is>
      </c>
    </row>
    <row r="187">
      <c r="A187" s="10" t="n">
        <v>45978</v>
      </c>
      <c r="B187" s="11" t="inlineStr">
        <is>
          <t>Fine Time</t>
        </is>
      </c>
      <c r="C187" s="12" t="n">
        <v>11.29</v>
      </c>
      <c r="D187" s="11" t="inlineStr">
        <is>
          <t>Expense</t>
        </is>
      </c>
      <c r="E187" s="11" t="inlineStr">
        <is>
          <t>Dining</t>
        </is>
      </c>
      <c r="F187" s="11" t="inlineStr">
        <is>
          <t>Checking</t>
        </is>
      </c>
      <c r="G187" s="11" t="inlineStr"/>
      <c r="H187" s="11" t="inlineStr"/>
    </row>
    <row r="188">
      <c r="A188" s="13" t="n">
        <v>45978</v>
      </c>
      <c r="B188" s="14" t="inlineStr">
        <is>
          <t>Left Hand Path</t>
        </is>
      </c>
      <c r="C188" s="15" t="n">
        <v>15.15</v>
      </c>
      <c r="D188" s="14" t="inlineStr">
        <is>
          <t>Expense</t>
        </is>
      </c>
      <c r="E188" s="14" t="inlineStr">
        <is>
          <t>Misc</t>
        </is>
      </c>
      <c r="F188" s="14" t="inlineStr">
        <is>
          <t>Checking</t>
        </is>
      </c>
      <c r="G188" s="14" t="inlineStr"/>
      <c r="H188" s="14" t="inlineStr"/>
    </row>
    <row r="189">
      <c r="A189" s="10" t="n">
        <v>45978</v>
      </c>
      <c r="B189" s="11" t="inlineStr">
        <is>
          <t>Left Hand Path</t>
        </is>
      </c>
      <c r="C189" s="12" t="n">
        <v>18.04</v>
      </c>
      <c r="D189" s="11" t="inlineStr">
        <is>
          <t>Expense</t>
        </is>
      </c>
      <c r="E189" s="11" t="inlineStr">
        <is>
          <t>Misc</t>
        </is>
      </c>
      <c r="F189" s="11" t="inlineStr">
        <is>
          <t>Checking</t>
        </is>
      </c>
      <c r="G189" s="11" t="inlineStr"/>
      <c r="H189" s="11" t="inlineStr"/>
    </row>
    <row r="190">
      <c r="A190" s="13" t="n">
        <v>45978</v>
      </c>
      <c r="B190" s="14" t="inlineStr">
        <is>
          <t>Paragon</t>
        </is>
      </c>
      <c r="C190" s="15" t="n">
        <v>21.04</v>
      </c>
      <c r="D190" s="14" t="inlineStr">
        <is>
          <t>Expense</t>
        </is>
      </c>
      <c r="E190" s="14" t="inlineStr">
        <is>
          <t>Misc</t>
        </is>
      </c>
      <c r="F190" s="14" t="inlineStr">
        <is>
          <t>Checking</t>
        </is>
      </c>
      <c r="G190" s="14" t="inlineStr"/>
      <c r="H190" s="14" t="inlineStr"/>
    </row>
    <row r="191">
      <c r="A191" s="10" t="n">
        <v>45978</v>
      </c>
      <c r="B191" s="11" t="inlineStr">
        <is>
          <t>Uber</t>
        </is>
      </c>
      <c r="C191" s="12" t="n">
        <v>11.67</v>
      </c>
      <c r="D191" s="11" t="inlineStr">
        <is>
          <t>Expense</t>
        </is>
      </c>
      <c r="E191" s="11" t="inlineStr">
        <is>
          <t>Transit</t>
        </is>
      </c>
      <c r="F191" s="11" t="inlineStr">
        <is>
          <t>Checking</t>
        </is>
      </c>
      <c r="G191" s="11" t="inlineStr"/>
      <c r="H191" s="11" t="inlineStr"/>
    </row>
    <row r="192">
      <c r="A192" s="13" t="n">
        <v>45978</v>
      </c>
      <c r="B192" s="14" t="inlineStr">
        <is>
          <t>Metro</t>
        </is>
      </c>
      <c r="C192" s="15" t="n">
        <v>19</v>
      </c>
      <c r="D192" s="14" t="inlineStr">
        <is>
          <t>Expense</t>
        </is>
      </c>
      <c r="E192" s="14" t="inlineStr">
        <is>
          <t>Transit</t>
        </is>
      </c>
      <c r="F192" s="14" t="inlineStr">
        <is>
          <t>Checking</t>
        </is>
      </c>
      <c r="G192" s="14" t="inlineStr"/>
      <c r="H192" s="14" t="inlineStr"/>
    </row>
    <row r="193">
      <c r="A193" s="10" t="n">
        <v>45978</v>
      </c>
      <c r="B193" s="11" t="inlineStr">
        <is>
          <t>Popeyes</t>
        </is>
      </c>
      <c r="C193" s="12" t="n">
        <v>10.87</v>
      </c>
      <c r="D193" s="11" t="inlineStr">
        <is>
          <t>Expense</t>
        </is>
      </c>
      <c r="E193" s="11" t="inlineStr">
        <is>
          <t>Dining</t>
        </is>
      </c>
      <c r="F193" s="11" t="inlineStr">
        <is>
          <t>Checking</t>
        </is>
      </c>
      <c r="G193" s="11" t="inlineStr"/>
      <c r="H193" s="11" t="inlineStr"/>
    </row>
    <row r="194">
      <c r="A194" s="13" t="n">
        <v>45976</v>
      </c>
      <c r="B194" s="14" t="inlineStr">
        <is>
          <t>City Fresh</t>
        </is>
      </c>
      <c r="C194" s="15" t="n">
        <v>16.99</v>
      </c>
      <c r="D194" s="14" t="inlineStr">
        <is>
          <t>Expense</t>
        </is>
      </c>
      <c r="E194" s="14" t="inlineStr">
        <is>
          <t>Grocery</t>
        </is>
      </c>
      <c r="F194" s="14" t="inlineStr">
        <is>
          <t>Checking</t>
        </is>
      </c>
      <c r="G194" s="14" t="inlineStr"/>
      <c r="H194" s="14" t="inlineStr">
        <is>
          <t>Coffee</t>
        </is>
      </c>
    </row>
    <row r="195">
      <c r="A195" s="10" t="n">
        <v>45976</v>
      </c>
      <c r="B195" s="11" t="inlineStr">
        <is>
          <t>Amazon</t>
        </is>
      </c>
      <c r="C195" s="12" t="n">
        <v>33.25</v>
      </c>
      <c r="D195" s="11" t="inlineStr">
        <is>
          <t>Expense</t>
        </is>
      </c>
      <c r="E195" s="11" t="inlineStr">
        <is>
          <t>Shopping</t>
        </is>
      </c>
      <c r="F195" s="11" t="inlineStr">
        <is>
          <t>Checking</t>
        </is>
      </c>
      <c r="G195" s="11" t="inlineStr"/>
      <c r="H195" s="11" t="inlineStr">
        <is>
          <t>Tape + sweat pants for Cliff</t>
        </is>
      </c>
    </row>
    <row r="196">
      <c r="A196" s="13" t="n">
        <v>45976</v>
      </c>
      <c r="B196" s="14" t="inlineStr">
        <is>
          <t>City Fresh</t>
        </is>
      </c>
      <c r="C196" s="15" t="n">
        <v>15.37</v>
      </c>
      <c r="D196" s="14" t="inlineStr">
        <is>
          <t>Expense</t>
        </is>
      </c>
      <c r="E196" s="14" t="inlineStr">
        <is>
          <t>Grocery</t>
        </is>
      </c>
      <c r="F196" s="14" t="inlineStr">
        <is>
          <t>Checking</t>
        </is>
      </c>
      <c r="G196" s="14" t="inlineStr"/>
      <c r="H196" s="14" t="inlineStr">
        <is>
          <t>Sushi + protein bar</t>
        </is>
      </c>
    </row>
    <row r="197">
      <c r="A197" s="10" t="n">
        <v>45975</v>
      </c>
      <c r="B197" s="11" t="inlineStr">
        <is>
          <t>FKA Twigs Ticket</t>
        </is>
      </c>
      <c r="C197" s="12" t="n">
        <v>29.47</v>
      </c>
      <c r="D197" s="11" t="inlineStr">
        <is>
          <t>Expense</t>
        </is>
      </c>
      <c r="E197" s="11" t="inlineStr">
        <is>
          <t>Misc</t>
        </is>
      </c>
      <c r="F197" s="11" t="inlineStr">
        <is>
          <t>Checking</t>
        </is>
      </c>
      <c r="G197" s="11" t="inlineStr"/>
      <c r="H197" s="11" t="inlineStr"/>
    </row>
    <row r="198">
      <c r="A198" s="13" t="n">
        <v>45975</v>
      </c>
      <c r="B198" s="14" t="inlineStr">
        <is>
          <t>Selva (w/Ana)</t>
        </is>
      </c>
      <c r="C198" s="15" t="n">
        <v>15.14</v>
      </c>
      <c r="D198" s="14" t="inlineStr">
        <is>
          <t>Expense</t>
        </is>
      </c>
      <c r="E198" s="14" t="inlineStr">
        <is>
          <t>Misc</t>
        </is>
      </c>
      <c r="F198" s="14" t="inlineStr">
        <is>
          <t>Checking</t>
        </is>
      </c>
      <c r="G198" s="14" t="inlineStr"/>
      <c r="H198" s="14" t="inlineStr"/>
    </row>
    <row r="199">
      <c r="A199" s="10" t="n">
        <v>45975</v>
      </c>
      <c r="B199" s="11" t="inlineStr">
        <is>
          <t>Bodega on Wall St</t>
        </is>
      </c>
      <c r="C199" s="12" t="n">
        <v>10.13</v>
      </c>
      <c r="D199" s="11" t="inlineStr">
        <is>
          <t>Expense</t>
        </is>
      </c>
      <c r="E199" s="11" t="inlineStr">
        <is>
          <t>Dining</t>
        </is>
      </c>
      <c r="F199" s="11" t="inlineStr">
        <is>
          <t>Checking</t>
        </is>
      </c>
      <c r="G199" s="11" t="inlineStr"/>
      <c r="H199" s="11" t="inlineStr"/>
    </row>
    <row r="200">
      <c r="A200" s="13" t="n">
        <v>45975</v>
      </c>
      <c r="B200" s="14" t="inlineStr">
        <is>
          <t>Doordash Popeyes</t>
        </is>
      </c>
      <c r="C200" s="15" t="n">
        <v>19.96</v>
      </c>
      <c r="D200" s="14" t="inlineStr">
        <is>
          <t>Expense</t>
        </is>
      </c>
      <c r="E200" s="14" t="inlineStr">
        <is>
          <t>Grocery</t>
        </is>
      </c>
      <c r="F200" s="14" t="inlineStr">
        <is>
          <t>Checking</t>
        </is>
      </c>
      <c r="G200" s="14" t="inlineStr"/>
      <c r="H200" s="14" t="inlineStr"/>
    </row>
    <row r="201">
      <c r="A201" s="10" t="n">
        <v>45975</v>
      </c>
      <c r="B201" s="11" t="inlineStr">
        <is>
          <t>Uber to home (1)</t>
        </is>
      </c>
      <c r="C201" s="12" t="n">
        <v>9.9</v>
      </c>
      <c r="D201" s="11" t="inlineStr">
        <is>
          <t>Expense</t>
        </is>
      </c>
      <c r="E201" s="11" t="inlineStr">
        <is>
          <t>Transit</t>
        </is>
      </c>
      <c r="F201" s="11" t="inlineStr">
        <is>
          <t>Checking</t>
        </is>
      </c>
      <c r="G201" s="11" t="inlineStr"/>
      <c r="H201" s="11" t="inlineStr">
        <is>
          <t>To Twigs</t>
        </is>
      </c>
    </row>
    <row r="202">
      <c r="A202" s="13" t="n">
        <v>45975</v>
      </c>
      <c r="B202" s="14" t="inlineStr">
        <is>
          <t>Uber to club (2)</t>
        </is>
      </c>
      <c r="C202" s="15" t="n">
        <v>11.29</v>
      </c>
      <c r="D202" s="14" t="inlineStr">
        <is>
          <t>Expense</t>
        </is>
      </c>
      <c r="E202" s="14" t="inlineStr">
        <is>
          <t>Transit</t>
        </is>
      </c>
      <c r="F202" s="14" t="inlineStr">
        <is>
          <t>Checking</t>
        </is>
      </c>
      <c r="G202" s="14" t="inlineStr"/>
      <c r="H202" s="14" t="inlineStr">
        <is>
          <t>To Twigs</t>
        </is>
      </c>
    </row>
    <row r="203">
      <c r="A203" s="10" t="n">
        <v>45975</v>
      </c>
      <c r="B203" s="11" t="inlineStr">
        <is>
          <t>154 Scott Drinks</t>
        </is>
      </c>
      <c r="C203" s="12" t="n">
        <v>24.1</v>
      </c>
      <c r="D203" s="11" t="inlineStr">
        <is>
          <t>Expense</t>
        </is>
      </c>
      <c r="E203" s="11" t="inlineStr">
        <is>
          <t>Dining</t>
        </is>
      </c>
      <c r="F203" s="11" t="inlineStr">
        <is>
          <t>Checking</t>
        </is>
      </c>
      <c r="G203" s="11" t="inlineStr"/>
      <c r="H203" s="11" t="inlineStr">
        <is>
          <t>At Twigs</t>
        </is>
      </c>
    </row>
    <row r="204">
      <c r="A204" s="13" t="n">
        <v>45975</v>
      </c>
      <c r="B204" s="14" t="inlineStr">
        <is>
          <t>154 Drinks 2</t>
        </is>
      </c>
      <c r="C204" s="15" t="n">
        <v>18.04</v>
      </c>
      <c r="D204" s="14" t="inlineStr">
        <is>
          <t>Expense</t>
        </is>
      </c>
      <c r="E204" s="14" t="inlineStr">
        <is>
          <t>Dining</t>
        </is>
      </c>
      <c r="F204" s="14" t="inlineStr">
        <is>
          <t>Checking</t>
        </is>
      </c>
      <c r="G204" s="14" t="inlineStr"/>
      <c r="H204" s="14" t="inlineStr">
        <is>
          <t>At Twigs</t>
        </is>
      </c>
    </row>
    <row r="205">
      <c r="A205" s="10" t="n">
        <v>45975</v>
      </c>
      <c r="B205" s="11" t="inlineStr">
        <is>
          <t>Uber home (3)</t>
        </is>
      </c>
      <c r="C205" s="12" t="n">
        <v>11.63</v>
      </c>
      <c r="D205" s="11" t="inlineStr">
        <is>
          <t>Expense</t>
        </is>
      </c>
      <c r="E205" s="11" t="inlineStr">
        <is>
          <t>Transit</t>
        </is>
      </c>
      <c r="F205" s="11" t="inlineStr">
        <is>
          <t>Checking</t>
        </is>
      </c>
      <c r="G205" s="11" t="inlineStr"/>
      <c r="H205" s="11" t="inlineStr">
        <is>
          <t>From Twigs</t>
        </is>
      </c>
    </row>
    <row r="206">
      <c r="A206" s="13" t="n">
        <v>45975</v>
      </c>
      <c r="B206" s="14" t="inlineStr">
        <is>
          <t>Amazon</t>
        </is>
      </c>
      <c r="C206" s="15" t="n">
        <v>20.68</v>
      </c>
      <c r="D206" s="14" t="inlineStr">
        <is>
          <t>Expense</t>
        </is>
      </c>
      <c r="E206" s="14" t="inlineStr">
        <is>
          <t>Shopping</t>
        </is>
      </c>
      <c r="F206" s="14" t="inlineStr">
        <is>
          <t>Checking</t>
        </is>
      </c>
      <c r="G206" s="14" t="inlineStr"/>
      <c r="H206" s="14" t="inlineStr">
        <is>
          <t>Shelving brackets</t>
        </is>
      </c>
    </row>
    <row r="207">
      <c r="A207" s="10" t="n">
        <v>45973</v>
      </c>
      <c r="B207" s="11" t="inlineStr">
        <is>
          <t>City Fresh</t>
        </is>
      </c>
      <c r="C207" s="12" t="n">
        <v>13.98</v>
      </c>
      <c r="D207" s="11" t="inlineStr">
        <is>
          <t>Expense</t>
        </is>
      </c>
      <c r="E207" s="11" t="inlineStr">
        <is>
          <t>Grocery</t>
        </is>
      </c>
      <c r="F207" s="11" t="inlineStr">
        <is>
          <t>Checking</t>
        </is>
      </c>
      <c r="G207" s="11" t="inlineStr"/>
      <c r="H207" s="11" t="inlineStr">
        <is>
          <t>Bacon</t>
        </is>
      </c>
    </row>
    <row r="208">
      <c r="A208" s="13" t="n">
        <v>45972</v>
      </c>
      <c r="B208" s="14" t="inlineStr">
        <is>
          <t>Three Diamond Door</t>
        </is>
      </c>
      <c r="C208" s="15" t="n">
        <v>12.3</v>
      </c>
      <c r="D208" s="14" t="inlineStr">
        <is>
          <t>Expense</t>
        </is>
      </c>
      <c r="E208" s="14" t="inlineStr">
        <is>
          <t>Misc</t>
        </is>
      </c>
      <c r="F208" s="14" t="inlineStr">
        <is>
          <t>Checking</t>
        </is>
      </c>
      <c r="G208" s="14" t="inlineStr"/>
      <c r="H208" s="14" t="inlineStr">
        <is>
          <t>drink with andrew</t>
        </is>
      </c>
    </row>
    <row r="209">
      <c r="A209" s="10" t="n">
        <v>45971</v>
      </c>
      <c r="B209" s="11" t="inlineStr">
        <is>
          <t>Obscure Coffee</t>
        </is>
      </c>
      <c r="C209" s="12" t="n">
        <v>8</v>
      </c>
      <c r="D209" s="11" t="inlineStr">
        <is>
          <t>Expense</t>
        </is>
      </c>
      <c r="E209" s="11" t="inlineStr">
        <is>
          <t>Dining</t>
        </is>
      </c>
      <c r="F209" s="11" t="inlineStr">
        <is>
          <t>Checking</t>
        </is>
      </c>
      <c r="G209" s="11" t="inlineStr"/>
      <c r="H209" s="11" t="inlineStr"/>
    </row>
    <row r="210">
      <c r="A210" s="13" t="n">
        <v>45971</v>
      </c>
      <c r="B210" s="14" t="inlineStr">
        <is>
          <t>Amazon</t>
        </is>
      </c>
      <c r="C210" s="15" t="n">
        <v>21.76</v>
      </c>
      <c r="D210" s="14" t="inlineStr">
        <is>
          <t>Expense</t>
        </is>
      </c>
      <c r="E210" s="14" t="inlineStr">
        <is>
          <t>Shopping</t>
        </is>
      </c>
      <c r="F210" s="14" t="inlineStr">
        <is>
          <t>Checking</t>
        </is>
      </c>
      <c r="G210" s="14" t="inlineStr"/>
      <c r="H210" s="14" t="inlineStr">
        <is>
          <t>bulletin board for studio</t>
        </is>
      </c>
    </row>
    <row r="211">
      <c r="A211" s="10" t="n">
        <v>45971</v>
      </c>
      <c r="B211" s="11" t="inlineStr">
        <is>
          <t>Grocery (Doordash)</t>
        </is>
      </c>
      <c r="C211" s="12" t="n">
        <v>105</v>
      </c>
      <c r="D211" s="11" t="inlineStr">
        <is>
          <t>Expense</t>
        </is>
      </c>
      <c r="E211" s="11" t="inlineStr">
        <is>
          <t>Grocery</t>
        </is>
      </c>
      <c r="F211" s="11" t="inlineStr">
        <is>
          <t>Checking</t>
        </is>
      </c>
      <c r="G211" s="11" t="inlineStr">
        <is>
          <t>Cliff/Roberto</t>
        </is>
      </c>
      <c r="H211" s="11" t="inlineStr"/>
    </row>
    <row r="212">
      <c r="A212" s="13" t="n">
        <v>45970</v>
      </c>
      <c r="B212" s="14" t="inlineStr">
        <is>
          <t>Amazon</t>
        </is>
      </c>
      <c r="C212" s="15" t="n">
        <v>53.43</v>
      </c>
      <c r="D212" s="14" t="inlineStr">
        <is>
          <t>Expense</t>
        </is>
      </c>
      <c r="E212" s="14" t="inlineStr">
        <is>
          <t>Shopping</t>
        </is>
      </c>
      <c r="F212" s="14" t="inlineStr">
        <is>
          <t>USAA Credit Card</t>
        </is>
      </c>
      <c r="G212" s="14" t="inlineStr"/>
      <c r="H212" s="14" t="inlineStr">
        <is>
          <t>Dettol Soap, key covers, new bath mat, all about love book</t>
        </is>
      </c>
    </row>
    <row r="213">
      <c r="A213" s="10" t="n">
        <v>45967</v>
      </c>
      <c r="B213" s="11" t="inlineStr">
        <is>
          <t>Bodega</t>
        </is>
      </c>
      <c r="C213" s="12" t="n">
        <v>2.8</v>
      </c>
      <c r="D213" s="11" t="inlineStr">
        <is>
          <t>Expense</t>
        </is>
      </c>
      <c r="E213" s="11" t="inlineStr">
        <is>
          <t>Dining</t>
        </is>
      </c>
      <c r="F213" s="11" t="inlineStr">
        <is>
          <t>Checking</t>
        </is>
      </c>
      <c r="G213" s="11" t="inlineStr"/>
      <c r="H213" s="11" t="inlineStr"/>
    </row>
    <row r="214">
      <c r="A214" s="13" t="n">
        <v>45967</v>
      </c>
      <c r="B214" s="14" t="inlineStr">
        <is>
          <t>Saint Michel</t>
        </is>
      </c>
      <c r="C214" s="15" t="n">
        <v>7.8</v>
      </c>
      <c r="D214" s="14" t="inlineStr">
        <is>
          <t>Expense</t>
        </is>
      </c>
      <c r="E214" s="14" t="inlineStr">
        <is>
          <t>Misc</t>
        </is>
      </c>
      <c r="F214" s="14" t="inlineStr">
        <is>
          <t>Checking</t>
        </is>
      </c>
      <c r="G214" s="14" t="inlineStr"/>
      <c r="H214" s="14" t="inlineStr"/>
    </row>
    <row r="215">
      <c r="A215" s="10" t="n">
        <v>45967</v>
      </c>
      <c r="B215" s="11" t="inlineStr">
        <is>
          <t>Bathroom Shelves</t>
        </is>
      </c>
      <c r="C215" s="12" t="n">
        <v>15.23</v>
      </c>
      <c r="D215" s="11" t="inlineStr">
        <is>
          <t>Expense</t>
        </is>
      </c>
      <c r="E215" s="11" t="inlineStr">
        <is>
          <t>Misc</t>
        </is>
      </c>
      <c r="F215" s="11" t="inlineStr">
        <is>
          <t>Checking</t>
        </is>
      </c>
      <c r="G215" s="11" t="inlineStr"/>
      <c r="H215" s="11" t="inlineStr"/>
    </row>
    <row r="216">
      <c r="A216" s="13" t="n">
        <v>45967</v>
      </c>
      <c r="B216" s="14" t="inlineStr">
        <is>
          <t>Mrs. Meyers Soap</t>
        </is>
      </c>
      <c r="C216" s="15" t="n">
        <v>22.84</v>
      </c>
      <c r="D216" s="14" t="inlineStr">
        <is>
          <t>Expense</t>
        </is>
      </c>
      <c r="E216" s="14" t="inlineStr">
        <is>
          <t>Misc</t>
        </is>
      </c>
      <c r="F216" s="14" t="inlineStr">
        <is>
          <t>Checking</t>
        </is>
      </c>
      <c r="G216" s="14" t="inlineStr"/>
      <c r="H216" s="14" t="inlineStr">
        <is>
          <t>double soap order</t>
        </is>
      </c>
    </row>
    <row r="217">
      <c r="A217" s="10" t="n">
        <v>45967</v>
      </c>
      <c r="B217" s="11" t="inlineStr">
        <is>
          <t>Journal</t>
        </is>
      </c>
      <c r="C217" s="12" t="n">
        <v>14.14</v>
      </c>
      <c r="D217" s="11" t="inlineStr">
        <is>
          <t>Expense</t>
        </is>
      </c>
      <c r="E217" s="11" t="inlineStr">
        <is>
          <t>Misc</t>
        </is>
      </c>
      <c r="F217" s="11" t="inlineStr">
        <is>
          <t>Checking</t>
        </is>
      </c>
      <c r="G217" s="11" t="inlineStr"/>
      <c r="H217" s="11" t="inlineStr">
        <is>
          <t>new jounral</t>
        </is>
      </c>
    </row>
    <row r="218">
      <c r="A218" s="13" t="n">
        <v>45966</v>
      </c>
      <c r="B218" s="14" t="inlineStr">
        <is>
          <t>Magician bar</t>
        </is>
      </c>
      <c r="C218" s="15" t="n">
        <v>11</v>
      </c>
      <c r="D218" s="14" t="inlineStr">
        <is>
          <t>Expense</t>
        </is>
      </c>
      <c r="E218" s="14" t="inlineStr">
        <is>
          <t>Misc</t>
        </is>
      </c>
      <c r="F218" s="14" t="inlineStr">
        <is>
          <t>Checking</t>
        </is>
      </c>
      <c r="G218" s="14" t="inlineStr"/>
      <c r="H218" s="14" t="inlineStr"/>
    </row>
    <row r="219">
      <c r="A219" s="10" t="n">
        <v>45966</v>
      </c>
      <c r="B219" s="11" t="inlineStr">
        <is>
          <t>Bar revival</t>
        </is>
      </c>
      <c r="C219" s="12" t="n">
        <v>35</v>
      </c>
      <c r="D219" s="11" t="inlineStr">
        <is>
          <t>Expense</t>
        </is>
      </c>
      <c r="E219" s="11" t="inlineStr">
        <is>
          <t>Misc</t>
        </is>
      </c>
      <c r="F219" s="11" t="inlineStr">
        <is>
          <t>Checking</t>
        </is>
      </c>
      <c r="G219" s="11" t="inlineStr"/>
      <c r="H219" s="11" t="inlineStr"/>
    </row>
    <row r="220">
      <c r="A220" s="13" t="n">
        <v>45966</v>
      </c>
      <c r="B220" s="14" t="inlineStr">
        <is>
          <t>Weed</t>
        </is>
      </c>
      <c r="C220" s="15" t="n">
        <v>10</v>
      </c>
      <c r="D220" s="14" t="inlineStr">
        <is>
          <t>Expense</t>
        </is>
      </c>
      <c r="E220" s="14" t="inlineStr">
        <is>
          <t>Misc</t>
        </is>
      </c>
      <c r="F220" s="14" t="inlineStr">
        <is>
          <t>Checking</t>
        </is>
      </c>
      <c r="G220" s="14" t="inlineStr"/>
      <c r="H220" s="14" t="inlineStr"/>
    </row>
    <row r="221">
      <c r="A221" s="10" t="n">
        <v>45965</v>
      </c>
      <c r="B221" s="11" t="inlineStr">
        <is>
          <t>Selva Latte</t>
        </is>
      </c>
      <c r="C221" s="12" t="n">
        <v>7.41</v>
      </c>
      <c r="D221" s="11" t="inlineStr">
        <is>
          <t>Expense</t>
        </is>
      </c>
      <c r="E221" s="11" t="inlineStr">
        <is>
          <t>Dining</t>
        </is>
      </c>
      <c r="F221" s="11" t="inlineStr">
        <is>
          <t>Checking</t>
        </is>
      </c>
      <c r="G221" s="11" t="inlineStr"/>
      <c r="H221" s="11" t="inlineStr"/>
    </row>
    <row r="222">
      <c r="A222" s="13" t="n">
        <v>45965</v>
      </c>
      <c r="B222" s="14" t="inlineStr">
        <is>
          <t>Mari GoFundMe</t>
        </is>
      </c>
      <c r="C222" s="15" t="n">
        <v>145</v>
      </c>
      <c r="D222" s="14" t="inlineStr">
        <is>
          <t>Expense</t>
        </is>
      </c>
      <c r="E222" s="14" t="inlineStr">
        <is>
          <t>Misc</t>
        </is>
      </c>
      <c r="F222" s="14" t="inlineStr">
        <is>
          <t>Checking</t>
        </is>
      </c>
      <c r="G222" s="14" t="inlineStr"/>
      <c r="H222" s="14" t="inlineStr"/>
    </row>
    <row r="223">
      <c r="A223" s="10" t="n">
        <v>45964</v>
      </c>
      <c r="B223" s="11" t="inlineStr">
        <is>
          <t>Ace Hardware (Shelf bracket)</t>
        </is>
      </c>
      <c r="C223" s="12" t="n">
        <v>6.52</v>
      </c>
      <c r="D223" s="11" t="inlineStr">
        <is>
          <t>Expense</t>
        </is>
      </c>
      <c r="E223" s="11" t="inlineStr">
        <is>
          <t>Home</t>
        </is>
      </c>
      <c r="F223" s="11" t="inlineStr">
        <is>
          <t>Checking</t>
        </is>
      </c>
      <c r="G223" s="11" t="inlineStr"/>
      <c r="H223" s="11" t="inlineStr"/>
    </row>
    <row r="224">
      <c r="A224" s="13" t="n">
        <v>45964</v>
      </c>
      <c r="B224" s="14" t="inlineStr">
        <is>
          <t>Uber</t>
        </is>
      </c>
      <c r="C224" s="15" t="n">
        <v>11.96</v>
      </c>
      <c r="D224" s="14" t="inlineStr">
        <is>
          <t>Expense</t>
        </is>
      </c>
      <c r="E224" s="14" t="inlineStr">
        <is>
          <t>Transit</t>
        </is>
      </c>
      <c r="F224" s="14" t="inlineStr">
        <is>
          <t>Checking</t>
        </is>
      </c>
      <c r="G224" s="14" t="inlineStr"/>
      <c r="H224" s="14" t="inlineStr"/>
    </row>
    <row r="225">
      <c r="A225" s="10" t="n">
        <v>45964</v>
      </c>
      <c r="B225" s="11" t="inlineStr">
        <is>
          <t>Good Judy</t>
        </is>
      </c>
      <c r="C225" s="12" t="n">
        <v>13.5</v>
      </c>
      <c r="D225" s="11" t="inlineStr">
        <is>
          <t>Expense</t>
        </is>
      </c>
      <c r="E225" s="11" t="inlineStr">
        <is>
          <t>Misc</t>
        </is>
      </c>
      <c r="F225" s="11" t="inlineStr">
        <is>
          <t>Checking</t>
        </is>
      </c>
      <c r="G225" s="11" t="inlineStr"/>
      <c r="H225" s="11" t="inlineStr"/>
    </row>
    <row r="226">
      <c r="A226" s="13" t="n">
        <v>45964</v>
      </c>
      <c r="B226" s="14" t="inlineStr">
        <is>
          <t>Doordash</t>
        </is>
      </c>
      <c r="C226" s="15" t="n">
        <v>23.13</v>
      </c>
      <c r="D226" s="14" t="inlineStr">
        <is>
          <t>Expense</t>
        </is>
      </c>
      <c r="E226" s="14" t="inlineStr">
        <is>
          <t>Grocery</t>
        </is>
      </c>
      <c r="F226" s="14" t="inlineStr">
        <is>
          <t>Checking</t>
        </is>
      </c>
      <c r="G226" s="14" t="inlineStr"/>
      <c r="H226" s="14" t="inlineStr"/>
    </row>
    <row r="227">
      <c r="A227" s="10" t="n">
        <v>45964</v>
      </c>
      <c r="B227" s="11" t="inlineStr">
        <is>
          <t>Uber</t>
        </is>
      </c>
      <c r="C227" s="12" t="n">
        <v>30.98</v>
      </c>
      <c r="D227" s="11" t="inlineStr">
        <is>
          <t>Expense</t>
        </is>
      </c>
      <c r="E227" s="11" t="inlineStr">
        <is>
          <t>Transit</t>
        </is>
      </c>
      <c r="F227" s="11" t="inlineStr">
        <is>
          <t>Checking</t>
        </is>
      </c>
      <c r="G227" s="11" t="inlineStr"/>
      <c r="H227" s="11" t="inlineStr"/>
    </row>
    <row r="228">
      <c r="A228" s="13" t="n">
        <v>45964</v>
      </c>
      <c r="B228" s="14" t="inlineStr">
        <is>
          <t>Liqour Store</t>
        </is>
      </c>
      <c r="C228" s="15" t="n">
        <v>41</v>
      </c>
      <c r="D228" s="14" t="inlineStr">
        <is>
          <t>Expense</t>
        </is>
      </c>
      <c r="E228" s="14" t="inlineStr">
        <is>
          <t>Misc</t>
        </is>
      </c>
      <c r="F228" s="14" t="inlineStr">
        <is>
          <t>Checking</t>
        </is>
      </c>
      <c r="G228" s="14" t="inlineStr"/>
      <c r="H228" s="14" t="inlineStr"/>
    </row>
    <row r="229">
      <c r="A229" s="10" t="n">
        <v>45964</v>
      </c>
      <c r="B229" s="11" t="inlineStr">
        <is>
          <t>Venmo spend</t>
        </is>
      </c>
      <c r="C229" s="12" t="n">
        <v>10</v>
      </c>
      <c r="D229" s="11" t="inlineStr">
        <is>
          <t>Expense</t>
        </is>
      </c>
      <c r="E229" s="11" t="inlineStr">
        <is>
          <t>Transfer</t>
        </is>
      </c>
      <c r="F229" s="11" t="inlineStr">
        <is>
          <t>Checking</t>
        </is>
      </c>
      <c r="G229" s="11" t="inlineStr"/>
      <c r="H229" s="11" t="inlineStr"/>
    </row>
    <row r="230">
      <c r="A230" s="13" t="n">
        <v>45964</v>
      </c>
      <c r="B230" s="14" t="inlineStr">
        <is>
          <t>Amazon</t>
        </is>
      </c>
      <c r="C230" s="15" t="n">
        <v>27.75</v>
      </c>
      <c r="D230" s="14" t="inlineStr">
        <is>
          <t>Expense</t>
        </is>
      </c>
      <c r="E230" s="14" t="inlineStr">
        <is>
          <t>Shopping</t>
        </is>
      </c>
      <c r="F230" s="14" t="inlineStr">
        <is>
          <t>Checking</t>
        </is>
      </c>
      <c r="G230" s="14" t="inlineStr"/>
      <c r="H230" s="14" t="inlineStr">
        <is>
          <t>Detergent</t>
        </is>
      </c>
    </row>
    <row r="231">
      <c r="A231" s="10" t="n">
        <v>45962</v>
      </c>
      <c r="B231" s="11" t="inlineStr">
        <is>
          <t>ATM Widthdrawl</t>
        </is>
      </c>
      <c r="C231" s="12" t="n">
        <v>102</v>
      </c>
      <c r="D231" s="11" t="inlineStr">
        <is>
          <t>Expense</t>
        </is>
      </c>
      <c r="E231" s="11" t="inlineStr">
        <is>
          <t>Transfer</t>
        </is>
      </c>
      <c r="F231" s="11" t="inlineStr">
        <is>
          <t>Checking</t>
        </is>
      </c>
      <c r="G231" s="11" t="inlineStr">
        <is>
          <t>Roberto</t>
        </is>
      </c>
      <c r="H231" s="11" t="inlineStr">
        <is>
          <t>this was for halloween ****</t>
        </is>
      </c>
    </row>
    <row r="232">
      <c r="A232" s="13" t="n">
        <v>45957</v>
      </c>
      <c r="B232" s="14" t="inlineStr">
        <is>
          <t>Grocery (DoorDash)</t>
        </is>
      </c>
      <c r="C232" s="15" t="n">
        <v>129.72</v>
      </c>
      <c r="D232" s="14" t="inlineStr">
        <is>
          <t>Expense</t>
        </is>
      </c>
      <c r="E232" s="14" t="inlineStr">
        <is>
          <t>Grocery</t>
        </is>
      </c>
      <c r="F232" s="14" t="inlineStr">
        <is>
          <t>Checking</t>
        </is>
      </c>
      <c r="G232" s="14" t="inlineStr">
        <is>
          <t>Roberto</t>
        </is>
      </c>
      <c r="H232" s="14" t="inlineStr">
        <is>
          <t>3x whole milk, 5x thin sliced cutlets, 4x wheat bread, 7x canned tuna, 3x pumpkin seeds, 2x garvanzo beans, 1x oatmeal, 2x black beans, 2x greek yogurt, 4x mozarella cheese, 5x eggs</t>
        </is>
      </c>
    </row>
    <row r="233">
      <c r="A233" s="10" t="n">
        <v>45955</v>
      </c>
      <c r="B233" s="11" t="inlineStr">
        <is>
          <t>City fresh</t>
        </is>
      </c>
      <c r="C233" s="12" t="n">
        <v>33.97</v>
      </c>
      <c r="D233" s="11" t="inlineStr">
        <is>
          <t>Expense</t>
        </is>
      </c>
      <c r="E233" s="11" t="inlineStr">
        <is>
          <t>Grocery</t>
        </is>
      </c>
      <c r="F233" s="11" t="inlineStr">
        <is>
          <t>Checking</t>
        </is>
      </c>
      <c r="G233" s="11" t="inlineStr">
        <is>
          <t>Roberto</t>
        </is>
      </c>
      <c r="H233" s="11" t="inlineStr"/>
    </row>
    <row r="234">
      <c r="A234" s="13" t="n">
        <v>45955</v>
      </c>
      <c r="B234" s="14" t="inlineStr">
        <is>
          <t>Honey's Bar</t>
        </is>
      </c>
      <c r="C234" s="15" t="n">
        <v>32.1</v>
      </c>
      <c r="D234" s="14" t="inlineStr">
        <is>
          <t>Expense</t>
        </is>
      </c>
      <c r="E234" s="14" t="inlineStr">
        <is>
          <t>Misc</t>
        </is>
      </c>
      <c r="F234" s="14" t="inlineStr">
        <is>
          <t>Checking</t>
        </is>
      </c>
      <c r="G234" s="14" t="inlineStr">
        <is>
          <t>Roberto</t>
        </is>
      </c>
      <c r="H234" s="14" t="inlineStr"/>
    </row>
    <row r="235">
      <c r="A235" s="10" t="n">
        <v>45955</v>
      </c>
      <c r="B235" s="11" t="inlineStr">
        <is>
          <t>Stainless Steel Shelves</t>
        </is>
      </c>
      <c r="C235" s="12" t="n">
        <v>58</v>
      </c>
      <c r="D235" s="11" t="inlineStr">
        <is>
          <t>Expense</t>
        </is>
      </c>
      <c r="E235" s="11" t="inlineStr">
        <is>
          <t>Misc</t>
        </is>
      </c>
      <c r="F235" s="11" t="inlineStr">
        <is>
          <t>Checking</t>
        </is>
      </c>
      <c r="G235" s="11" t="inlineStr">
        <is>
          <t>Roberto</t>
        </is>
      </c>
      <c r="H235" s="11" t="inlineStr"/>
    </row>
    <row r="236">
      <c r="A236" s="13" t="n">
        <v>45953</v>
      </c>
      <c r="B236" s="14" t="inlineStr">
        <is>
          <t>Signal Tickets for halloween</t>
        </is>
      </c>
      <c r="C236" s="15" t="n">
        <v>60</v>
      </c>
      <c r="D236" s="14" t="inlineStr">
        <is>
          <t>Expense</t>
        </is>
      </c>
      <c r="E236" s="14" t="inlineStr">
        <is>
          <t>Misc</t>
        </is>
      </c>
      <c r="F236" s="14" t="inlineStr">
        <is>
          <t>Checking</t>
        </is>
      </c>
      <c r="G236" s="14" t="inlineStr">
        <is>
          <t>Roberto</t>
        </is>
      </c>
      <c r="H236" s="14" t="inlineStr"/>
    </row>
    <row r="237">
      <c r="A237" s="10" t="n">
        <v>45952</v>
      </c>
      <c r="B237" s="11" t="inlineStr">
        <is>
          <t>Bodega</t>
        </is>
      </c>
      <c r="C237" s="12" t="n">
        <v>4.16</v>
      </c>
      <c r="D237" s="11" t="inlineStr">
        <is>
          <t>Expense</t>
        </is>
      </c>
      <c r="E237" s="11" t="inlineStr">
        <is>
          <t>Dining</t>
        </is>
      </c>
      <c r="F237" s="11" t="inlineStr">
        <is>
          <t>Checking</t>
        </is>
      </c>
      <c r="G237" s="11" t="inlineStr">
        <is>
          <t>Roberto</t>
        </is>
      </c>
      <c r="H237" s="11" t="inlineStr"/>
    </row>
    <row r="238">
      <c r="A238" s="13" t="n">
        <v>45952</v>
      </c>
      <c r="B238" s="14" t="inlineStr">
        <is>
          <t>Bodega</t>
        </is>
      </c>
      <c r="C238" s="15" t="n">
        <v>7.28</v>
      </c>
      <c r="D238" s="14" t="inlineStr">
        <is>
          <t>Expense</t>
        </is>
      </c>
      <c r="E238" s="14" t="inlineStr">
        <is>
          <t>Dining</t>
        </is>
      </c>
      <c r="F238" s="14" t="inlineStr">
        <is>
          <t>Checking</t>
        </is>
      </c>
      <c r="G238" s="14" t="inlineStr">
        <is>
          <t>Roberto</t>
        </is>
      </c>
      <c r="H238" s="14" t="inlineStr"/>
    </row>
    <row r="239">
      <c r="A239" s="10" t="n">
        <v>45952</v>
      </c>
      <c r="B239" s="11" t="inlineStr">
        <is>
          <t>City Fresh</t>
        </is>
      </c>
      <c r="C239" s="12" t="n">
        <v>9.73</v>
      </c>
      <c r="D239" s="11" t="inlineStr">
        <is>
          <t>Expense</t>
        </is>
      </c>
      <c r="E239" s="11" t="inlineStr">
        <is>
          <t>Grocery</t>
        </is>
      </c>
      <c r="F239" s="11" t="inlineStr">
        <is>
          <t>Checking</t>
        </is>
      </c>
      <c r="G239" s="11" t="inlineStr">
        <is>
          <t>Roberto</t>
        </is>
      </c>
      <c r="H239" s="11" t="inlineStr"/>
    </row>
    <row r="240">
      <c r="A240" s="13" t="n">
        <v>45949</v>
      </c>
      <c r="B240" s="14" t="inlineStr">
        <is>
          <t>Home Depot</t>
        </is>
      </c>
      <c r="C240" s="15" t="n">
        <v>19.03</v>
      </c>
      <c r="D240" s="14" t="inlineStr">
        <is>
          <t>Expense</t>
        </is>
      </c>
      <c r="E240" s="14" t="inlineStr">
        <is>
          <t>Home</t>
        </is>
      </c>
      <c r="F240" s="14" t="inlineStr">
        <is>
          <t>Checking</t>
        </is>
      </c>
      <c r="G240" s="14" t="inlineStr">
        <is>
          <t>Roberto</t>
        </is>
      </c>
      <c r="H240" s="14" t="inlineStr"/>
    </row>
    <row r="241">
      <c r="A241" s="10" t="n">
        <v>45949</v>
      </c>
      <c r="B241" s="11" t="inlineStr">
        <is>
          <t>Adorama</t>
        </is>
      </c>
      <c r="C241" s="12" t="n">
        <v>38.09</v>
      </c>
      <c r="D241" s="11" t="inlineStr">
        <is>
          <t>Expense</t>
        </is>
      </c>
      <c r="E241" s="11" t="inlineStr">
        <is>
          <t>Misc</t>
        </is>
      </c>
      <c r="F241" s="11" t="inlineStr">
        <is>
          <t>Checking</t>
        </is>
      </c>
      <c r="G241" s="11" t="inlineStr">
        <is>
          <t>Roberto</t>
        </is>
      </c>
      <c r="H241" s="11" t="inlineStr"/>
    </row>
    <row r="242">
      <c r="A242" s="13" t="n">
        <v>45949</v>
      </c>
      <c r="B242" s="14" t="inlineStr">
        <is>
          <t>Transit to NJ</t>
        </is>
      </c>
      <c r="C242" s="15" t="n">
        <v>18</v>
      </c>
      <c r="D242" s="14" t="inlineStr">
        <is>
          <t>Expense</t>
        </is>
      </c>
      <c r="E242" s="14" t="inlineStr">
        <is>
          <t>Transit</t>
        </is>
      </c>
      <c r="F242" s="14" t="inlineStr">
        <is>
          <t>Checking</t>
        </is>
      </c>
      <c r="G242" s="14" t="inlineStr">
        <is>
          <t>Roberto</t>
        </is>
      </c>
      <c r="H242" s="14" t="inlineStr"/>
    </row>
    <row r="243">
      <c r="A243" s="10" t="n">
        <v>45949</v>
      </c>
      <c r="B243" s="11" t="inlineStr">
        <is>
          <t>DoorDash for Mari</t>
        </is>
      </c>
      <c r="C243" s="12" t="n">
        <v>100</v>
      </c>
      <c r="D243" s="11" t="inlineStr">
        <is>
          <t>Expense</t>
        </is>
      </c>
      <c r="E243" s="11" t="inlineStr">
        <is>
          <t>Grocery</t>
        </is>
      </c>
      <c r="F243" s="11" t="inlineStr">
        <is>
          <t>Checking</t>
        </is>
      </c>
      <c r="G243" s="11" t="inlineStr">
        <is>
          <t>Roberto</t>
        </is>
      </c>
      <c r="H243" s="11" t="inlineStr"/>
    </row>
    <row r="244">
      <c r="A244" s="13" t="n">
        <v>45947</v>
      </c>
      <c r="B244" s="14" t="inlineStr">
        <is>
          <t>Amazon</t>
        </is>
      </c>
      <c r="C244" s="15" t="n">
        <v>33.69</v>
      </c>
      <c r="D244" s="14" t="inlineStr">
        <is>
          <t>Expense</t>
        </is>
      </c>
      <c r="E244" s="14" t="inlineStr">
        <is>
          <t>Shopping</t>
        </is>
      </c>
      <c r="F244" s="14" t="inlineStr">
        <is>
          <t>Checking</t>
        </is>
      </c>
      <c r="G244" s="14" t="inlineStr">
        <is>
          <t>Roberto</t>
        </is>
      </c>
      <c r="H244" s="14" t="inlineStr">
        <is>
          <t>Gym Bag, Sweat Pants</t>
        </is>
      </c>
    </row>
    <row r="245">
      <c r="A245" s="10" t="n">
        <v>45947</v>
      </c>
      <c r="B245" s="11" t="inlineStr">
        <is>
          <t>Amazon</t>
        </is>
      </c>
      <c r="C245" s="12" t="n">
        <v>184.98</v>
      </c>
      <c r="D245" s="11" t="inlineStr">
        <is>
          <t>Expense</t>
        </is>
      </c>
      <c r="E245" s="11" t="inlineStr">
        <is>
          <t>Shopping</t>
        </is>
      </c>
      <c r="F245" s="11" t="inlineStr">
        <is>
          <t>Bilt</t>
        </is>
      </c>
      <c r="G245" s="11" t="inlineStr">
        <is>
          <t>Roberto</t>
        </is>
      </c>
      <c r="H245" s="11" t="inlineStr">
        <is>
          <t>Squeegee, Cat Water, Cat liter, USB Hub, Listerine, Shower Wall Mount, Quarter Inch adapter</t>
        </is>
      </c>
    </row>
    <row r="246">
      <c r="A246" s="13" t="n">
        <v>45947</v>
      </c>
      <c r="B246" s="14" t="inlineStr">
        <is>
          <t>Uniqlo</t>
        </is>
      </c>
      <c r="C246" s="15" t="n">
        <v>62</v>
      </c>
      <c r="D246" s="14" t="inlineStr">
        <is>
          <t>Expense</t>
        </is>
      </c>
      <c r="E246" s="14" t="inlineStr">
        <is>
          <t>Misc</t>
        </is>
      </c>
      <c r="F246" s="14" t="inlineStr">
        <is>
          <t>Checking</t>
        </is>
      </c>
      <c r="G246" s="14" t="inlineStr">
        <is>
          <t>Roberto</t>
        </is>
      </c>
      <c r="H246" s="14" t="inlineStr"/>
    </row>
    <row r="247">
      <c r="A247" s="10" t="n">
        <v>45947</v>
      </c>
      <c r="B247" s="11" t="inlineStr">
        <is>
          <t>Palmetto</t>
        </is>
      </c>
      <c r="C247" s="12" t="n">
        <v>67.02</v>
      </c>
      <c r="D247" s="11" t="inlineStr">
        <is>
          <t>Expense</t>
        </is>
      </c>
      <c r="E247" s="11" t="inlineStr">
        <is>
          <t>Misc</t>
        </is>
      </c>
      <c r="F247" s="11" t="inlineStr">
        <is>
          <t>Bilt</t>
        </is>
      </c>
      <c r="G247" s="11" t="inlineStr">
        <is>
          <t>Roberto</t>
        </is>
      </c>
      <c r="H247" s="11" t="inlineStr"/>
    </row>
    <row r="248">
      <c r="A248" s="13" t="n">
        <v>45947</v>
      </c>
      <c r="B248" s="14" t="inlineStr">
        <is>
          <t>Caraotas</t>
        </is>
      </c>
      <c r="C248" s="15" t="n">
        <v>12</v>
      </c>
      <c r="D248" s="14" t="inlineStr">
        <is>
          <t>Expense</t>
        </is>
      </c>
      <c r="E248" s="14" t="inlineStr">
        <is>
          <t>Dining</t>
        </is>
      </c>
      <c r="F248" s="14" t="inlineStr">
        <is>
          <t>Checking</t>
        </is>
      </c>
      <c r="G248" s="14" t="inlineStr">
        <is>
          <t>Roberto</t>
        </is>
      </c>
      <c r="H248" s="14" t="inlineStr"/>
    </row>
    <row r="249">
      <c r="A249" s="10" t="n">
        <v>45943</v>
      </c>
      <c r="B249" s="11" t="inlineStr">
        <is>
          <t>Grocery (Doordash)</t>
        </is>
      </c>
      <c r="C249" s="12" t="n">
        <v>140</v>
      </c>
      <c r="D249" s="11" t="inlineStr">
        <is>
          <t>Expense</t>
        </is>
      </c>
      <c r="E249" s="11" t="inlineStr">
        <is>
          <t>Grocery</t>
        </is>
      </c>
      <c r="F249" s="11" t="inlineStr">
        <is>
          <t>Checking</t>
        </is>
      </c>
      <c r="G249" s="11" t="inlineStr">
        <is>
          <t>Roberto</t>
        </is>
      </c>
      <c r="H249" s="11" t="inlineStr">
        <is>
          <t>10x Tunas, 1x Almond, 5x 12-ct eggs, 3x Multigrain, 2x Whole milk, 2x Garbanzo Beans, 1x Brown Rice, 2x Black Beans, 4x Mozarella, 6x Chicken cutlets, 2x Cottage Cheese, 1x Chipotle Dressing</t>
        </is>
      </c>
    </row>
    <row r="250">
      <c r="A250" s="13" t="n">
        <v>45940</v>
      </c>
      <c r="B250" s="14" t="inlineStr">
        <is>
          <t>Bodega</t>
        </is>
      </c>
      <c r="C250" s="15" t="n">
        <v>8</v>
      </c>
      <c r="D250" s="14" t="inlineStr">
        <is>
          <t>Expense</t>
        </is>
      </c>
      <c r="E250" s="14" t="inlineStr">
        <is>
          <t>Dining</t>
        </is>
      </c>
      <c r="F250" s="14" t="inlineStr">
        <is>
          <t>Checking</t>
        </is>
      </c>
      <c r="G250" s="14" t="inlineStr">
        <is>
          <t>Roberto</t>
        </is>
      </c>
      <c r="H250" s="14" t="inlineStr"/>
    </row>
    <row r="251">
      <c r="A251" s="10" t="n">
        <v>45940</v>
      </c>
      <c r="B251" s="11" t="inlineStr">
        <is>
          <t>Bodega</t>
        </is>
      </c>
      <c r="C251" s="12" t="n">
        <v>4.16</v>
      </c>
      <c r="D251" s="11" t="inlineStr">
        <is>
          <t>Expense</t>
        </is>
      </c>
      <c r="E251" s="11" t="inlineStr">
        <is>
          <t>Dining</t>
        </is>
      </c>
      <c r="F251" s="11" t="inlineStr">
        <is>
          <t>Checking</t>
        </is>
      </c>
      <c r="G251" s="11" t="inlineStr">
        <is>
          <t>Roberto</t>
        </is>
      </c>
      <c r="H251" s="11" t="inlineStr"/>
    </row>
    <row r="252">
      <c r="A252" s="13" t="n">
        <v>45940</v>
      </c>
      <c r="B252" s="14" t="inlineStr">
        <is>
          <t>Drink (captain Dan)</t>
        </is>
      </c>
      <c r="C252" s="15" t="n">
        <v>15</v>
      </c>
      <c r="D252" s="14" t="inlineStr">
        <is>
          <t>Expense</t>
        </is>
      </c>
      <c r="E252" s="14" t="inlineStr">
        <is>
          <t>Dining</t>
        </is>
      </c>
      <c r="F252" s="14" t="inlineStr">
        <is>
          <t>Checking</t>
        </is>
      </c>
      <c r="G252" s="14" t="inlineStr">
        <is>
          <t>Roberto</t>
        </is>
      </c>
      <c r="H252" s="14" t="inlineStr"/>
    </row>
    <row r="253">
      <c r="A253" s="10" t="n">
        <v>45940</v>
      </c>
      <c r="B253" s="11" t="inlineStr">
        <is>
          <t>CVS</t>
        </is>
      </c>
      <c r="C253" s="12" t="n">
        <v>10.14</v>
      </c>
      <c r="D253" s="11" t="inlineStr">
        <is>
          <t>Expense</t>
        </is>
      </c>
      <c r="E253" s="11" t="inlineStr">
        <is>
          <t>Health</t>
        </is>
      </c>
      <c r="F253" s="11" t="inlineStr">
        <is>
          <t>Checking</t>
        </is>
      </c>
      <c r="G253" s="11" t="inlineStr">
        <is>
          <t>Roberto</t>
        </is>
      </c>
      <c r="H253" s="11" t="inlineStr"/>
    </row>
    <row r="254">
      <c r="A254" s="13" t="n">
        <v>45940</v>
      </c>
      <c r="B254" s="14" t="inlineStr">
        <is>
          <t>Bodega</t>
        </is>
      </c>
      <c r="C254" s="15" t="n">
        <v>18.78</v>
      </c>
      <c r="D254" s="14" t="inlineStr">
        <is>
          <t>Expense</t>
        </is>
      </c>
      <c r="E254" s="14" t="inlineStr">
        <is>
          <t>Dining</t>
        </is>
      </c>
      <c r="F254" s="14" t="inlineStr">
        <is>
          <t>Checking</t>
        </is>
      </c>
      <c r="G254" s="14" t="inlineStr">
        <is>
          <t>Roberto</t>
        </is>
      </c>
      <c r="H254" s="14" t="inlineStr"/>
    </row>
    <row r="255">
      <c r="A255" s="10" t="n">
        <v>45940</v>
      </c>
      <c r="B255" s="11" t="inlineStr">
        <is>
          <t>Brunch</t>
        </is>
      </c>
      <c r="C255" s="12" t="n">
        <v>25</v>
      </c>
      <c r="D255" s="11" t="inlineStr">
        <is>
          <t>Expense</t>
        </is>
      </c>
      <c r="E255" s="11" t="inlineStr">
        <is>
          <t>Misc</t>
        </is>
      </c>
      <c r="F255" s="11" t="inlineStr">
        <is>
          <t>Checking</t>
        </is>
      </c>
      <c r="G255" s="11" t="inlineStr">
        <is>
          <t>Roberto</t>
        </is>
      </c>
      <c r="H255" s="11" t="inlineStr"/>
    </row>
    <row r="256">
      <c r="A256" s="13" t="n">
        <v>45940</v>
      </c>
      <c r="B256" s="14" t="inlineStr">
        <is>
          <t>amazon usb c</t>
        </is>
      </c>
      <c r="C256" s="15" t="n">
        <v>10</v>
      </c>
      <c r="D256" s="14" t="inlineStr">
        <is>
          <t>Expense</t>
        </is>
      </c>
      <c r="E256" s="14" t="inlineStr">
        <is>
          <t>Shopping</t>
        </is>
      </c>
      <c r="F256" s="14" t="inlineStr">
        <is>
          <t>Checking</t>
        </is>
      </c>
      <c r="G256" s="14" t="inlineStr">
        <is>
          <t>Roberto</t>
        </is>
      </c>
      <c r="H256" s="14" t="inlineStr"/>
    </row>
    <row r="257">
      <c r="A257" s="10" t="n">
        <v>45940</v>
      </c>
      <c r="B257" s="11" t="inlineStr">
        <is>
          <t>City Fresh</t>
        </is>
      </c>
      <c r="C257" s="12" t="n">
        <v>17.3</v>
      </c>
      <c r="D257" s="11" t="inlineStr">
        <is>
          <t>Expense</t>
        </is>
      </c>
      <c r="E257" s="11" t="inlineStr">
        <is>
          <t>Grocery</t>
        </is>
      </c>
      <c r="F257" s="11" t="inlineStr">
        <is>
          <t>Checking</t>
        </is>
      </c>
      <c r="G257" s="11" t="inlineStr">
        <is>
          <t>Roberto</t>
        </is>
      </c>
      <c r="H257" s="11" t="inlineStr">
        <is>
          <t>Bodega sushi for dinner 10/14 (Sunday)</t>
        </is>
      </c>
    </row>
    <row r="258">
      <c r="A258" s="13" t="n">
        <v>45939</v>
      </c>
      <c r="B258" s="14" t="inlineStr">
        <is>
          <t>Amazon Ice Roller</t>
        </is>
      </c>
      <c r="C258" s="15" t="n">
        <v>8</v>
      </c>
      <c r="D258" s="14" t="inlineStr">
        <is>
          <t>Expense</t>
        </is>
      </c>
      <c r="E258" s="14" t="inlineStr">
        <is>
          <t>Shopping</t>
        </is>
      </c>
      <c r="F258" s="14" t="inlineStr">
        <is>
          <t>Checking</t>
        </is>
      </c>
      <c r="G258" s="14" t="inlineStr">
        <is>
          <t>Roberto</t>
        </is>
      </c>
      <c r="H258" s="14" t="inlineStr"/>
    </row>
    <row r="259">
      <c r="A259" s="10" t="n">
        <v>45939</v>
      </c>
      <c r="B259" s="11" t="inlineStr">
        <is>
          <t>Bread (City Fresh)</t>
        </is>
      </c>
      <c r="C259" s="12" t="n">
        <v>21.19</v>
      </c>
      <c r="D259" s="11" t="inlineStr">
        <is>
          <t>Expense</t>
        </is>
      </c>
      <c r="E259" s="11" t="inlineStr">
        <is>
          <t>Grocery</t>
        </is>
      </c>
      <c r="F259" s="11" t="inlineStr">
        <is>
          <t>Checking</t>
        </is>
      </c>
      <c r="G259" s="11" t="inlineStr">
        <is>
          <t>Roberto</t>
        </is>
      </c>
      <c r="H259" s="11" t="inlineStr">
        <is>
          <t>2 loafs of bread</t>
        </is>
      </c>
    </row>
    <row r="260">
      <c r="A260" s="13" t="n">
        <v>45937</v>
      </c>
      <c r="B260" s="14" t="inlineStr">
        <is>
          <t>Iced Latte</t>
        </is>
      </c>
      <c r="C260" s="15" t="n">
        <v>7</v>
      </c>
      <c r="D260" s="14" t="inlineStr">
        <is>
          <t>Expense</t>
        </is>
      </c>
      <c r="E260" s="14" t="inlineStr">
        <is>
          <t>Dining</t>
        </is>
      </c>
      <c r="F260" s="14" t="inlineStr">
        <is>
          <t>Checking</t>
        </is>
      </c>
      <c r="G260" s="14" t="inlineStr">
        <is>
          <t>Roberto</t>
        </is>
      </c>
      <c r="H260" s="14" t="inlineStr"/>
    </row>
    <row r="261">
      <c r="A261" s="10" t="n">
        <v>45937</v>
      </c>
      <c r="B261" s="11" t="inlineStr">
        <is>
          <t>Calendar</t>
        </is>
      </c>
      <c r="C261" s="12" t="n">
        <v>6</v>
      </c>
      <c r="D261" s="11" t="inlineStr">
        <is>
          <t>Expense</t>
        </is>
      </c>
      <c r="E261" s="11" t="inlineStr">
        <is>
          <t>Misc</t>
        </is>
      </c>
      <c r="F261" s="11" t="inlineStr">
        <is>
          <t>Checking</t>
        </is>
      </c>
      <c r="G261" s="11" t="inlineStr">
        <is>
          <t>Roberto</t>
        </is>
      </c>
      <c r="H261" s="11" t="inlineStr"/>
    </row>
    <row r="262">
      <c r="A262" s="13" t="n">
        <v>45936</v>
      </c>
      <c r="B262" s="14" t="inlineStr">
        <is>
          <t>Bodega</t>
        </is>
      </c>
      <c r="C262" s="15" t="n">
        <v>8.32</v>
      </c>
      <c r="D262" s="14" t="inlineStr">
        <is>
          <t>Expense</t>
        </is>
      </c>
      <c r="E262" s="14" t="inlineStr">
        <is>
          <t>Dining</t>
        </is>
      </c>
      <c r="F262" s="14" t="inlineStr">
        <is>
          <t>Checking</t>
        </is>
      </c>
      <c r="G262" s="14" t="inlineStr">
        <is>
          <t>Roberto</t>
        </is>
      </c>
      <c r="H262" s="14" t="inlineStr"/>
    </row>
    <row r="263">
      <c r="A263" s="10" t="n">
        <v>45936</v>
      </c>
      <c r="B263" s="11" t="inlineStr">
        <is>
          <t>Bodega</t>
        </is>
      </c>
      <c r="C263" s="12" t="n">
        <v>4.36</v>
      </c>
      <c r="D263" s="11" t="inlineStr">
        <is>
          <t>Expense</t>
        </is>
      </c>
      <c r="E263" s="11" t="inlineStr">
        <is>
          <t>Dining</t>
        </is>
      </c>
      <c r="F263" s="11" t="inlineStr">
        <is>
          <t>Checking</t>
        </is>
      </c>
      <c r="G263" s="11" t="inlineStr">
        <is>
          <t>Roberto</t>
        </is>
      </c>
      <c r="H263" s="11" t="inlineStr"/>
    </row>
    <row r="264">
      <c r="A264" s="13" t="n">
        <v>45933</v>
      </c>
      <c r="B264" s="14" t="inlineStr">
        <is>
          <t>Toothbrush</t>
        </is>
      </c>
      <c r="C264" s="15" t="n">
        <v>51.16</v>
      </c>
      <c r="D264" s="14" t="inlineStr">
        <is>
          <t>Expense</t>
        </is>
      </c>
      <c r="E264" s="14" t="inlineStr">
        <is>
          <t>Shopping</t>
        </is>
      </c>
      <c r="F264" s="14" t="inlineStr">
        <is>
          <t>Checking</t>
        </is>
      </c>
      <c r="G264" s="14" t="inlineStr">
        <is>
          <t>Roberto</t>
        </is>
      </c>
      <c r="H264" s="14" t="inlineStr"/>
    </row>
    <row r="265">
      <c r="A265" s="10" t="n">
        <v>45933</v>
      </c>
      <c r="B265" s="11" t="inlineStr">
        <is>
          <t>Diane's</t>
        </is>
      </c>
      <c r="C265" s="12" t="n">
        <v>11.03</v>
      </c>
      <c r="D265" s="11" t="inlineStr">
        <is>
          <t>Expense</t>
        </is>
      </c>
      <c r="E265" s="11" t="inlineStr">
        <is>
          <t>Dining</t>
        </is>
      </c>
      <c r="F265" s="11" t="inlineStr">
        <is>
          <t>Checking</t>
        </is>
      </c>
      <c r="G265" s="11" t="inlineStr">
        <is>
          <t>Roberto</t>
        </is>
      </c>
      <c r="H265" s="11" t="inlineStr"/>
    </row>
    <row r="266">
      <c r="A266" s="13" t="n">
        <v>45933</v>
      </c>
      <c r="B266" s="14" t="inlineStr">
        <is>
          <t>Diane's</t>
        </is>
      </c>
      <c r="C266" s="15" t="n">
        <v>19.93</v>
      </c>
      <c r="D266" s="14" t="inlineStr">
        <is>
          <t>Expense</t>
        </is>
      </c>
      <c r="E266" s="14" t="inlineStr">
        <is>
          <t>Dining</t>
        </is>
      </c>
      <c r="F266" s="14" t="inlineStr">
        <is>
          <t>Checking</t>
        </is>
      </c>
      <c r="G266" s="14" t="inlineStr">
        <is>
          <t>Roberto</t>
        </is>
      </c>
      <c r="H266" s="14" t="inlineStr"/>
    </row>
    <row r="267">
      <c r="A267" s="10" t="n">
        <v>45933</v>
      </c>
      <c r="B267" s="11" t="inlineStr">
        <is>
          <t>Shake Shack</t>
        </is>
      </c>
      <c r="C267" s="12" t="n">
        <v>38.12</v>
      </c>
      <c r="D267" s="11" t="inlineStr">
        <is>
          <t>Expense</t>
        </is>
      </c>
      <c r="E267" s="11" t="inlineStr">
        <is>
          <t>Dining</t>
        </is>
      </c>
      <c r="F267" s="11" t="inlineStr">
        <is>
          <t>Checking</t>
        </is>
      </c>
      <c r="G267" s="11" t="inlineStr">
        <is>
          <t>Roberto</t>
        </is>
      </c>
      <c r="H267" s="11" t="inlineStr"/>
    </row>
    <row r="268">
      <c r="A268" s="13" t="n">
        <v>45933</v>
      </c>
      <c r="B268" s="14" t="inlineStr">
        <is>
          <t>Bodega</t>
        </is>
      </c>
      <c r="C268" s="15" t="n">
        <v>6.23</v>
      </c>
      <c r="D268" s="14" t="inlineStr">
        <is>
          <t>Expense</t>
        </is>
      </c>
      <c r="E268" s="14" t="inlineStr">
        <is>
          <t>Dining</t>
        </is>
      </c>
      <c r="F268" s="14" t="inlineStr">
        <is>
          <t>Checking</t>
        </is>
      </c>
      <c r="G268" s="14" t="inlineStr">
        <is>
          <t>Roberto</t>
        </is>
      </c>
      <c r="H268" s="14" t="inlineStr"/>
    </row>
    <row r="269">
      <c r="A269" s="10" t="n">
        <v>45932</v>
      </c>
      <c r="B269" s="11" t="inlineStr">
        <is>
          <t>Iced latte</t>
        </is>
      </c>
      <c r="C269" s="12" t="n">
        <v>4.92</v>
      </c>
      <c r="D269" s="11" t="inlineStr">
        <is>
          <t>Expense</t>
        </is>
      </c>
      <c r="E269" s="11" t="inlineStr">
        <is>
          <t>Dining</t>
        </is>
      </c>
      <c r="F269" s="11" t="inlineStr">
        <is>
          <t>Checking</t>
        </is>
      </c>
      <c r="G269" s="11" t="inlineStr">
        <is>
          <t>Roberto</t>
        </is>
      </c>
      <c r="H269" s="11" t="inlineStr"/>
    </row>
    <row r="270">
      <c r="A270" s="13" t="n">
        <v>45932</v>
      </c>
      <c r="B270" s="14" t="inlineStr">
        <is>
          <t>Shirt (other ppls clothes)</t>
        </is>
      </c>
      <c r="C270" s="15" t="n">
        <v>24.98</v>
      </c>
      <c r="D270" s="14" t="inlineStr">
        <is>
          <t>Expense</t>
        </is>
      </c>
      <c r="E270" s="14" t="inlineStr">
        <is>
          <t>Shopping</t>
        </is>
      </c>
      <c r="F270" s="14" t="inlineStr">
        <is>
          <t>Checking</t>
        </is>
      </c>
      <c r="G270" s="14" t="inlineStr">
        <is>
          <t>Roberto</t>
        </is>
      </c>
      <c r="H270" s="14" t="inlineStr"/>
    </row>
    <row r="271">
      <c r="A271" s="10" t="n">
        <v>45929</v>
      </c>
      <c r="B271" s="11" t="inlineStr">
        <is>
          <t>Iced Latte</t>
        </is>
      </c>
      <c r="C271" s="12" t="n">
        <v>4.01</v>
      </c>
      <c r="D271" s="11" t="inlineStr">
        <is>
          <t>Expense</t>
        </is>
      </c>
      <c r="E271" s="11" t="inlineStr">
        <is>
          <t>Dining</t>
        </is>
      </c>
      <c r="F271" s="11" t="inlineStr">
        <is>
          <t>Checking</t>
        </is>
      </c>
      <c r="G271" s="11" t="inlineStr">
        <is>
          <t>Roberto</t>
        </is>
      </c>
      <c r="H271" s="11" t="inlineStr"/>
    </row>
    <row r="272">
      <c r="A272" s="13" t="n">
        <v>45928</v>
      </c>
      <c r="B272" s="14" t="inlineStr">
        <is>
          <t>Amazon Order</t>
        </is>
      </c>
      <c r="C272" s="15" t="n">
        <v>90.2</v>
      </c>
      <c r="D272" s="14" t="inlineStr">
        <is>
          <t>Expense</t>
        </is>
      </c>
      <c r="E272" s="14" t="inlineStr">
        <is>
          <t>Shopping</t>
        </is>
      </c>
      <c r="F272" s="14" t="inlineStr">
        <is>
          <t>Checking</t>
        </is>
      </c>
      <c r="G272" s="14" t="inlineStr">
        <is>
          <t>Roberto</t>
        </is>
      </c>
      <c r="H272" s="14" t="inlineStr">
        <is>
          <t>2x AHA BHA Ordinary, 1x Oil Cleanser, 1x Body Oil Cleanser, 1x Cerave Moisturizer, 1x Salicylic Cleanser</t>
        </is>
      </c>
    </row>
    <row r="273">
      <c r="A273" s="10" t="n">
        <v>45928</v>
      </c>
      <c r="B273" s="11" t="inlineStr">
        <is>
          <t>ATM</t>
        </is>
      </c>
      <c r="C273" s="12" t="n">
        <v>31.16</v>
      </c>
      <c r="D273" s="11" t="inlineStr">
        <is>
          <t>Expense</t>
        </is>
      </c>
      <c r="E273" s="11" t="inlineStr">
        <is>
          <t>Transfer</t>
        </is>
      </c>
      <c r="F273" s="11" t="inlineStr">
        <is>
          <t>Checking</t>
        </is>
      </c>
      <c r="G273" s="11" t="inlineStr">
        <is>
          <t>Roberto</t>
        </is>
      </c>
      <c r="H273" s="11" t="inlineStr"/>
    </row>
    <row r="274">
      <c r="A274" s="13" t="n">
        <v>45928</v>
      </c>
      <c r="B274" s="14" t="inlineStr">
        <is>
          <t>Iced Latte</t>
        </is>
      </c>
      <c r="C274" s="15" t="n">
        <v>5.21</v>
      </c>
      <c r="D274" s="14" t="inlineStr">
        <is>
          <t>Expense</t>
        </is>
      </c>
      <c r="E274" s="14" t="inlineStr">
        <is>
          <t>Dining</t>
        </is>
      </c>
      <c r="F274" s="14" t="inlineStr">
        <is>
          <t>Checking</t>
        </is>
      </c>
      <c r="G274" s="14" t="inlineStr">
        <is>
          <t>Roberto</t>
        </is>
      </c>
      <c r="H274" s="14" t="inlineStr"/>
    </row>
    <row r="275">
      <c r="A275" s="10" t="n">
        <v>45928</v>
      </c>
      <c r="B275" s="11" t="inlineStr">
        <is>
          <t>Grocery (Doordash)</t>
        </is>
      </c>
      <c r="C275" s="12" t="n">
        <v>59.46</v>
      </c>
      <c r="D275" s="11" t="inlineStr">
        <is>
          <t>Expense</t>
        </is>
      </c>
      <c r="E275" s="11" t="inlineStr">
        <is>
          <t>Grocery</t>
        </is>
      </c>
      <c r="F275" s="11" t="inlineStr">
        <is>
          <t>Checking</t>
        </is>
      </c>
      <c r="G275" s="11" t="inlineStr">
        <is>
          <t>Cliff/Roberto</t>
        </is>
      </c>
      <c r="H275" s="11" t="inlineStr">
        <is>
          <t>6x Thin Chicken Cutlets, 5x 12-ct eggs, 4x Mozzarella Cheese, 3x Almond Milk, 1x .5 gal Milk, 2x Multigrain, 10x Tuna, 2x Yogurt, 1 Honey, 2x Refried Beans | 10 days worth of groceries</t>
        </is>
      </c>
    </row>
    <row r="276">
      <c r="A276" s="16" t="n"/>
      <c r="B276" s="17" t="n"/>
      <c r="C276" s="18" t="n"/>
      <c r="D276" s="17" t="n"/>
      <c r="E276" s="17" t="n"/>
      <c r="F276" s="17" t="n"/>
      <c r="G276" s="17" t="n"/>
      <c r="H276" s="17" t="n"/>
    </row>
    <row r="277">
      <c r="A277" s="16" t="n"/>
      <c r="B277" s="17" t="n"/>
      <c r="C277" s="18" t="n"/>
      <c r="D277" s="17" t="n"/>
      <c r="E277" s="17" t="n"/>
      <c r="F277" s="17" t="n"/>
      <c r="G277" s="17" t="n"/>
      <c r="H277" s="17" t="n"/>
    </row>
    <row r="278">
      <c r="A278" s="16" t="n"/>
      <c r="B278" s="17" t="n"/>
      <c r="C278" s="18" t="n"/>
      <c r="D278" s="17" t="n"/>
      <c r="E278" s="17" t="n"/>
      <c r="F278" s="17" t="n"/>
      <c r="G278" s="17" t="n"/>
      <c r="H278" s="17" t="n"/>
    </row>
    <row r="279">
      <c r="A279" s="16" t="n"/>
      <c r="B279" s="17" t="n"/>
      <c r="C279" s="18" t="n"/>
      <c r="D279" s="17" t="n"/>
      <c r="E279" s="17" t="n"/>
      <c r="F279" s="17" t="n"/>
      <c r="G279" s="17" t="n"/>
      <c r="H279" s="17" t="n"/>
    </row>
    <row r="280">
      <c r="A280" s="16" t="n"/>
      <c r="B280" s="17" t="n"/>
      <c r="C280" s="18" t="n"/>
      <c r="D280" s="17" t="n"/>
      <c r="E280" s="17" t="n"/>
      <c r="F280" s="17" t="n"/>
      <c r="G280" s="17" t="n"/>
      <c r="H280" s="17" t="n"/>
    </row>
    <row r="281">
      <c r="A281" s="16" t="n"/>
      <c r="B281" s="17" t="n"/>
      <c r="C281" s="18" t="n"/>
      <c r="D281" s="17" t="n"/>
      <c r="E281" s="17" t="n"/>
      <c r="F281" s="17" t="n"/>
      <c r="G281" s="17" t="n"/>
      <c r="H281" s="17" t="n"/>
    </row>
    <row r="282">
      <c r="A282" s="16" t="n"/>
      <c r="B282" s="17" t="n"/>
      <c r="C282" s="18" t="n"/>
      <c r="D282" s="17" t="n"/>
      <c r="E282" s="17" t="n"/>
      <c r="F282" s="17" t="n"/>
      <c r="G282" s="17" t="n"/>
      <c r="H282" s="17" t="n"/>
    </row>
    <row r="283">
      <c r="A283" s="16" t="n"/>
      <c r="B283" s="17" t="n"/>
      <c r="C283" s="18" t="n"/>
      <c r="D283" s="17" t="n"/>
      <c r="E283" s="17" t="n"/>
      <c r="F283" s="17" t="n"/>
      <c r="G283" s="17" t="n"/>
      <c r="H283" s="17" t="n"/>
    </row>
    <row r="284">
      <c r="A284" s="16" t="n"/>
      <c r="B284" s="17" t="n"/>
      <c r="C284" s="18" t="n"/>
      <c r="D284" s="17" t="n"/>
      <c r="E284" s="17" t="n"/>
      <c r="F284" s="17" t="n"/>
      <c r="G284" s="17" t="n"/>
      <c r="H284" s="17" t="n"/>
    </row>
    <row r="285">
      <c r="A285" s="16" t="n"/>
      <c r="B285" s="17" t="n"/>
      <c r="C285" s="18" t="n"/>
      <c r="D285" s="17" t="n"/>
      <c r="E285" s="17" t="n"/>
      <c r="F285" s="17" t="n"/>
      <c r="G285" s="17" t="n"/>
      <c r="H285" s="17" t="n"/>
    </row>
    <row r="286">
      <c r="A286" s="16" t="n"/>
      <c r="B286" s="17" t="n"/>
      <c r="C286" s="18" t="n"/>
      <c r="D286" s="17" t="n"/>
      <c r="E286" s="17" t="n"/>
      <c r="F286" s="17" t="n"/>
      <c r="G286" s="17" t="n"/>
      <c r="H286" s="17" t="n"/>
    </row>
    <row r="287">
      <c r="A287" s="16" t="n"/>
      <c r="B287" s="17" t="n"/>
      <c r="C287" s="18" t="n"/>
      <c r="D287" s="17" t="n"/>
      <c r="E287" s="17" t="n"/>
      <c r="F287" s="17" t="n"/>
      <c r="G287" s="17" t="n"/>
      <c r="H287" s="17" t="n"/>
    </row>
    <row r="288">
      <c r="A288" s="16" t="n"/>
      <c r="B288" s="17" t="n"/>
      <c r="C288" s="18" t="n"/>
      <c r="D288" s="17" t="n"/>
      <c r="E288" s="17" t="n"/>
      <c r="F288" s="17" t="n"/>
      <c r="G288" s="17" t="n"/>
      <c r="H288" s="17" t="n"/>
    </row>
    <row r="289">
      <c r="A289" s="16" t="n"/>
      <c r="B289" s="17" t="n"/>
      <c r="C289" s="18" t="n"/>
      <c r="D289" s="17" t="n"/>
      <c r="E289" s="17" t="n"/>
      <c r="F289" s="17" t="n"/>
      <c r="G289" s="17" t="n"/>
      <c r="H289" s="17" t="n"/>
    </row>
    <row r="290">
      <c r="A290" s="16" t="n"/>
      <c r="B290" s="17" t="n"/>
      <c r="C290" s="18" t="n"/>
      <c r="D290" s="17" t="n"/>
      <c r="E290" s="17" t="n"/>
      <c r="F290" s="17" t="n"/>
      <c r="G290" s="17" t="n"/>
      <c r="H290" s="17" t="n"/>
    </row>
    <row r="291">
      <c r="A291" s="16" t="n"/>
      <c r="B291" s="17" t="n"/>
      <c r="C291" s="18" t="n"/>
      <c r="D291" s="17" t="n"/>
      <c r="E291" s="17" t="n"/>
      <c r="F291" s="17" t="n"/>
      <c r="G291" s="17" t="n"/>
      <c r="H291" s="17" t="n"/>
    </row>
    <row r="292">
      <c r="A292" s="16" t="n"/>
      <c r="B292" s="17" t="n"/>
      <c r="C292" s="18" t="n"/>
      <c r="D292" s="17" t="n"/>
      <c r="E292" s="17" t="n"/>
      <c r="F292" s="17" t="n"/>
      <c r="G292" s="17" t="n"/>
      <c r="H292" s="17" t="n"/>
    </row>
    <row r="293">
      <c r="A293" s="16" t="n"/>
      <c r="B293" s="17" t="n"/>
      <c r="C293" s="18" t="n"/>
      <c r="D293" s="17" t="n"/>
      <c r="E293" s="17" t="n"/>
      <c r="F293" s="17" t="n"/>
      <c r="G293" s="17" t="n"/>
      <c r="H293" s="17" t="n"/>
    </row>
    <row r="294">
      <c r="A294" s="16" t="n"/>
      <c r="B294" s="17" t="n"/>
      <c r="C294" s="18" t="n"/>
      <c r="D294" s="17" t="n"/>
      <c r="E294" s="17" t="n"/>
      <c r="F294" s="17" t="n"/>
      <c r="G294" s="17" t="n"/>
      <c r="H294" s="17" t="n"/>
    </row>
    <row r="295">
      <c r="A295" s="16" t="n"/>
      <c r="B295" s="17" t="n"/>
      <c r="C295" s="18" t="n"/>
      <c r="D295" s="17" t="n"/>
      <c r="E295" s="17" t="n"/>
      <c r="F295" s="17" t="n"/>
      <c r="G295" s="17" t="n"/>
      <c r="H295" s="17" t="n"/>
    </row>
    <row r="296">
      <c r="A296" s="16" t="n"/>
      <c r="B296" s="17" t="n"/>
      <c r="C296" s="18" t="n"/>
      <c r="D296" s="17" t="n"/>
      <c r="E296" s="17" t="n"/>
      <c r="F296" s="17" t="n"/>
      <c r="G296" s="17" t="n"/>
      <c r="H296" s="17" t="n"/>
    </row>
    <row r="297">
      <c r="A297" s="16" t="n"/>
      <c r="B297" s="17" t="n"/>
      <c r="C297" s="18" t="n"/>
      <c r="D297" s="17" t="n"/>
      <c r="E297" s="17" t="n"/>
      <c r="F297" s="17" t="n"/>
      <c r="G297" s="17" t="n"/>
      <c r="H297" s="17" t="n"/>
    </row>
    <row r="298">
      <c r="A298" s="16" t="n"/>
      <c r="B298" s="17" t="n"/>
      <c r="C298" s="18" t="n"/>
      <c r="D298" s="17" t="n"/>
      <c r="E298" s="17" t="n"/>
      <c r="F298" s="17" t="n"/>
      <c r="G298" s="17" t="n"/>
      <c r="H298" s="17" t="n"/>
    </row>
    <row r="299">
      <c r="A299" s="16" t="n"/>
      <c r="B299" s="17" t="n"/>
      <c r="C299" s="18" t="n"/>
      <c r="D299" s="17" t="n"/>
      <c r="E299" s="17" t="n"/>
      <c r="F299" s="17" t="n"/>
      <c r="G299" s="17" t="n"/>
      <c r="H299" s="17" t="n"/>
    </row>
    <row r="300">
      <c r="A300" s="16" t="n"/>
      <c r="B300" s="17" t="n"/>
      <c r="C300" s="18" t="n"/>
      <c r="D300" s="17" t="n"/>
      <c r="E300" s="17" t="n"/>
      <c r="F300" s="17" t="n"/>
      <c r="G300" s="17" t="n"/>
      <c r="H300" s="17" t="n"/>
    </row>
    <row r="301">
      <c r="A301" s="16" t="n"/>
      <c r="B301" s="17" t="n"/>
      <c r="C301" s="18" t="n"/>
      <c r="D301" s="17" t="n"/>
      <c r="E301" s="17" t="n"/>
      <c r="F301" s="17" t="n"/>
      <c r="G301" s="17" t="n"/>
      <c r="H301" s="17" t="n"/>
    </row>
    <row r="302">
      <c r="A302" s="16" t="n"/>
      <c r="B302" s="17" t="n"/>
      <c r="C302" s="18" t="n"/>
      <c r="D302" s="17" t="n"/>
      <c r="E302" s="17" t="n"/>
      <c r="F302" s="17" t="n"/>
      <c r="G302" s="17" t="n"/>
      <c r="H302" s="17" t="n"/>
    </row>
    <row r="303">
      <c r="A303" s="16" t="n"/>
      <c r="B303" s="17" t="n"/>
      <c r="C303" s="18" t="n"/>
      <c r="D303" s="17" t="n"/>
      <c r="E303" s="17" t="n"/>
      <c r="F303" s="17" t="n"/>
      <c r="G303" s="17" t="n"/>
      <c r="H303" s="17" t="n"/>
    </row>
    <row r="304">
      <c r="A304" s="16" t="n"/>
      <c r="B304" s="17" t="n"/>
      <c r="C304" s="18" t="n"/>
      <c r="D304" s="17" t="n"/>
      <c r="E304" s="17" t="n"/>
      <c r="F304" s="17" t="n"/>
      <c r="G304" s="17" t="n"/>
      <c r="H304" s="17" t="n"/>
    </row>
    <row r="305">
      <c r="A305" s="16" t="n"/>
      <c r="B305" s="17" t="n"/>
      <c r="C305" s="18" t="n"/>
      <c r="D305" s="17" t="n"/>
      <c r="E305" s="17" t="n"/>
      <c r="F305" s="17" t="n"/>
      <c r="G305" s="17" t="n"/>
      <c r="H305" s="17" t="n"/>
    </row>
  </sheetData>
  <autoFilter ref="A4:H305"/>
  <mergeCells count="2">
    <mergeCell ref="A2:H2"/>
    <mergeCell ref="A1:H1"/>
  </mergeCells>
  <dataValidations count="4">
    <dataValidation sqref="D5:D305" showDropDown="0" showInputMessage="0" showErrorMessage="0" allowBlank="1" type="list">
      <formula1>Setup!$D$2:$D$4</formula1>
    </dataValidation>
    <dataValidation sqref="E5:E305" showDropDown="0" showInputMessage="0" showErrorMessage="0" allowBlank="1" type="list">
      <formula1>Setup!$A$2:$A$16</formula1>
    </dataValidation>
    <dataValidation sqref="F5:F305" showDropDown="0" showInputMessage="0" showErrorMessage="0" allowBlank="1" type="list">
      <formula1>Setup!$B$2:$B$10</formula1>
    </dataValidation>
    <dataValidation sqref="G5:G305" showDropDown="0" showInputMessage="0" showErrorMessage="0" allowBlank="1" type="list">
      <formula1>Setup!$C$2:$C$6</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9"/>
  <sheetViews>
    <sheetView workbookViewId="0">
      <pane ySplit="3" topLeftCell="A4" activePane="bottomLeft" state="frozen"/>
      <selection pane="bottomLeft"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0" customWidth="1" min="6" max="6"/>
    <col width="3" customWidth="1" min="7" max="7"/>
    <col width="20" customWidth="1" min="8" max="8"/>
    <col width="14" customWidth="1" min="9" max="9"/>
    <col width="12" customWidth="1" min="10" max="10"/>
  </cols>
  <sheetData>
    <row r="1">
      <c r="A1" s="1" t="inlineStr">
        <is>
          <t>DASHBOARD</t>
        </is>
      </c>
    </row>
    <row r="2">
      <c r="A2" s="5" t="inlineStr">
        <is>
          <t>Change Year/Month below. Log spends on the Log sheet — this page updates automatically.</t>
        </is>
      </c>
    </row>
    <row r="4">
      <c r="A4" s="19" t="inlineStr">
        <is>
          <t>Year</t>
        </is>
      </c>
      <c r="B4" s="20" t="n">
        <v>2026</v>
      </c>
      <c r="C4" s="19" t="inlineStr">
        <is>
          <t>Month (1-12)</t>
        </is>
      </c>
      <c r="D4" s="20" t="n">
        <v>7</v>
      </c>
      <c r="F4" s="5" t="inlineStr">
        <is>
          <t>← flip months here</t>
        </is>
      </c>
      <c r="H4" s="21" t="inlineStr">
        <is>
          <t>ACCOUNT BALANCES</t>
        </is>
      </c>
    </row>
    <row r="5">
      <c r="A5" s="19" t="inlineStr">
        <is>
          <t>Period</t>
        </is>
      </c>
      <c r="B5" s="22">
        <f>DATE(B4,D4,1)</f>
        <v/>
      </c>
      <c r="C5" t="inlineStr">
        <is>
          <t>to</t>
        </is>
      </c>
      <c r="D5" s="22">
        <f>EOMONTH(B5,0)</f>
        <v/>
      </c>
      <c r="H5" s="5" t="inlineStr">
        <is>
          <t>(edit on Accounts)</t>
        </is>
      </c>
    </row>
    <row r="6">
      <c r="H6" s="2" t="inlineStr">
        <is>
          <t>Account</t>
        </is>
      </c>
      <c r="I6" s="2" t="inlineStr">
        <is>
          <t>Balance / avail</t>
        </is>
      </c>
      <c r="J6" s="2" t="inlineStr">
        <is>
          <t>Owed</t>
        </is>
      </c>
    </row>
    <row r="7">
      <c r="A7" s="19" t="inlineStr">
        <is>
          <t>INCOME (logged)</t>
        </is>
      </c>
      <c r="C7" s="19" t="inlineStr">
        <is>
          <t>SPENT (expenses)</t>
        </is>
      </c>
      <c r="E7" s="19" t="inlineStr">
        <is>
          <t>LOGGED NET</t>
        </is>
      </c>
      <c r="H7" s="17">
        <f>Accounts!A5</f>
        <v/>
      </c>
      <c r="I7" s="18">
        <f>Accounts!B5</f>
        <v/>
      </c>
      <c r="J7" s="18">
        <f>Accounts!C5</f>
        <v/>
      </c>
    </row>
    <row r="8">
      <c r="A8" s="23">
        <f>SUMIFS(Log!$C$5:$C$305,Log!$D$5:$D$305,"Income",Log!$A$5:$A$305,"&gt;="&amp;$B$5,Log!$A$5:$A$305,"&lt;="&amp;$D$5)</f>
        <v/>
      </c>
      <c r="C8" s="24">
        <f>SUMIFS(Log!$C$5:$C$305,Log!$D$5:$D$305,"Expense",Log!$A$5:$A$305,"&gt;="&amp;$B$5,Log!$A$5:$A$305,"&lt;="&amp;$D$5)</f>
        <v/>
      </c>
      <c r="E8" s="25">
        <f>A8-C8</f>
        <v/>
      </c>
      <c r="H8" s="17">
        <f>Accounts!A6</f>
        <v/>
      </c>
      <c r="I8" s="18">
        <f>Accounts!B6</f>
        <v/>
      </c>
      <c r="J8" s="18">
        <f>Accounts!C6</f>
        <v/>
      </c>
    </row>
    <row r="9">
      <c r="A9" s="5" t="inlineStr">
        <is>
          <t>From Log rows this month only</t>
        </is>
      </c>
      <c r="E9" s="19" t="inlineStr">
        <is>
          <t>PLANNED LEFT (main number)</t>
        </is>
      </c>
      <c r="H9" s="17">
        <f>Accounts!A7</f>
        <v/>
      </c>
      <c r="I9" s="18">
        <f>Accounts!B7</f>
        <v/>
      </c>
      <c r="J9" s="18">
        <f>Accounts!C7</f>
        <v/>
      </c>
    </row>
    <row r="10">
      <c r="A10" s="5" t="inlineStr">
        <is>
          <t>Expected monthly income (Income Plan) minus expenses logged this month. Use this as “can I still spend?”</t>
        </is>
      </c>
      <c r="E10" s="26">
        <f>('Income Plan'!B12)-C8</f>
        <v/>
      </c>
      <c r="H10" s="17">
        <f>Accounts!A8</f>
        <v/>
      </c>
      <c r="I10" s="18">
        <f>Accounts!B8</f>
        <v/>
      </c>
      <c r="J10" s="18">
        <f>Accounts!C8</f>
        <v/>
      </c>
    </row>
    <row r="11">
      <c r="H11" s="17">
        <f>Accounts!A9</f>
        <v/>
      </c>
      <c r="I11" s="18">
        <f>Accounts!B9</f>
        <v/>
      </c>
      <c r="J11" s="18">
        <f>Accounts!C9</f>
        <v/>
      </c>
    </row>
    <row r="12">
      <c r="A12" s="21" t="inlineStr">
        <is>
          <t>CATEGORY vs BUDGET</t>
        </is>
      </c>
      <c r="H12" s="17">
        <f>Accounts!A10</f>
        <v/>
      </c>
      <c r="I12" s="18">
        <f>Accounts!B10</f>
        <v/>
      </c>
      <c r="J12" s="18">
        <f>Accounts!C10</f>
        <v/>
      </c>
    </row>
    <row r="13">
      <c r="A13" s="27" t="inlineStr">
        <is>
          <t>Category</t>
        </is>
      </c>
      <c r="B13" s="27" t="inlineStr">
        <is>
          <t>Budget</t>
        </is>
      </c>
      <c r="C13" s="27" t="inlineStr">
        <is>
          <t>Spent</t>
        </is>
      </c>
      <c r="D13" s="27" t="inlineStr">
        <is>
          <t>Left</t>
        </is>
      </c>
      <c r="E13" s="27" t="inlineStr">
        <is>
          <t>% Used</t>
        </is>
      </c>
      <c r="F13" s="27" t="inlineStr">
        <is>
          <t>Status</t>
        </is>
      </c>
      <c r="H13" s="17">
        <f>Accounts!A11</f>
        <v/>
      </c>
      <c r="I13" s="18">
        <f>Accounts!B11</f>
        <v/>
      </c>
      <c r="J13" s="18">
        <f>Accounts!C11</f>
        <v/>
      </c>
    </row>
    <row r="14">
      <c r="A14" s="11" t="inlineStr">
        <is>
          <t>Rent</t>
        </is>
      </c>
      <c r="B14" s="18">
        <f>IFERROR(VLOOKUP(A14,Budget!$A$5:$B$30,2,FALSE),0)</f>
        <v/>
      </c>
      <c r="C14" s="18">
        <f>SUMIFS(Log!$C$5:$C$305,Log!$E$5:$E$305,A14,Log!$D$5:$D$305,"Expense",Log!$A$5:$A$305,"&gt;="&amp;$B$5,Log!$A$5:$A$305,"&lt;="&amp;$D$5)</f>
        <v/>
      </c>
      <c r="D14" s="18">
        <f>B14-C14</f>
        <v/>
      </c>
      <c r="E14" s="28">
        <f>IF(B14=0,IF(C14&gt;0,1,0),C14/B14)</f>
        <v/>
      </c>
      <c r="F14" s="17">
        <f>IF(B14=0,"—",IF(C14&gt;B14,"OVER",IF(C14/B14&gt;=0.9,"CLOSE","OK")))</f>
        <v/>
      </c>
      <c r="H14" s="17">
        <f>Accounts!A12</f>
        <v/>
      </c>
      <c r="I14" s="18">
        <f>Accounts!B12</f>
        <v/>
      </c>
      <c r="J14" s="18">
        <f>Accounts!C12</f>
        <v/>
      </c>
    </row>
    <row r="15">
      <c r="A15" s="11" t="inlineStr">
        <is>
          <t>Utilities</t>
        </is>
      </c>
      <c r="B15" s="18">
        <f>IFERROR(VLOOKUP(A15,Budget!$A$5:$B$30,2,FALSE),0)</f>
        <v/>
      </c>
      <c r="C15" s="18">
        <f>SUMIFS(Log!$C$5:$C$305,Log!$E$5:$E$305,A15,Log!$D$5:$D$305,"Expense",Log!$A$5:$A$305,"&gt;="&amp;$B$5,Log!$A$5:$A$305,"&lt;="&amp;$D$5)</f>
        <v/>
      </c>
      <c r="D15" s="18">
        <f>B15-C15</f>
        <v/>
      </c>
      <c r="E15" s="28">
        <f>IF(B15=0,IF(C15&gt;0,1,0),C15/B15)</f>
        <v/>
      </c>
      <c r="F15" s="17">
        <f>IF(B15=0,"—",IF(C15&gt;B15,"OVER",IF(C15/B15&gt;=0.9,"CLOSE","OK")))</f>
        <v/>
      </c>
      <c r="H15" s="17">
        <f>Accounts!A13</f>
        <v/>
      </c>
      <c r="I15" s="18">
        <f>Accounts!B13</f>
        <v/>
      </c>
      <c r="J15" s="18">
        <f>Accounts!C13</f>
        <v/>
      </c>
    </row>
    <row r="16">
      <c r="A16" s="11" t="inlineStr">
        <is>
          <t>Subscriptions</t>
        </is>
      </c>
      <c r="B16" s="18">
        <f>IFERROR(VLOOKUP(A16,Budget!$A$5:$B$30,2,FALSE),0)</f>
        <v/>
      </c>
      <c r="C16" s="18">
        <f>SUMIFS(Log!$C$5:$C$305,Log!$E$5:$E$305,A16,Log!$D$5:$D$305,"Expense",Log!$A$5:$A$305,"&gt;="&amp;$B$5,Log!$A$5:$A$305,"&lt;="&amp;$D$5)</f>
        <v/>
      </c>
      <c r="D16" s="18">
        <f>B16-C16</f>
        <v/>
      </c>
      <c r="E16" s="28">
        <f>IF(B16=0,IF(C16&gt;0,1,0),C16/B16)</f>
        <v/>
      </c>
      <c r="F16" s="17">
        <f>IF(B16=0,"—",IF(C16&gt;B16,"OVER",IF(C16/B16&gt;=0.9,"CLOSE","OK")))</f>
        <v/>
      </c>
    </row>
    <row r="17">
      <c r="A17" s="11" t="inlineStr">
        <is>
          <t>Grocery</t>
        </is>
      </c>
      <c r="B17" s="18">
        <f>IFERROR(VLOOKUP(A17,Budget!$A$5:$B$30,2,FALSE),0)</f>
        <v/>
      </c>
      <c r="C17" s="18">
        <f>SUMIFS(Log!$C$5:$C$305,Log!$E$5:$E$305,A17,Log!$D$5:$D$305,"Expense",Log!$A$5:$A$305,"&gt;="&amp;$B$5,Log!$A$5:$A$305,"&lt;="&amp;$D$5)</f>
        <v/>
      </c>
      <c r="D17" s="18">
        <f>B17-C17</f>
        <v/>
      </c>
      <c r="E17" s="28">
        <f>IF(B17=0,IF(C17&gt;0,1,0),C17/B17)</f>
        <v/>
      </c>
      <c r="F17" s="17">
        <f>IF(B17=0,"—",IF(C17&gt;B17,"OVER",IF(C17/B17&gt;=0.9,"CLOSE","OK")))</f>
        <v/>
      </c>
      <c r="H17" s="19" t="inlineStr">
        <is>
          <t>Total credit owed</t>
        </is>
      </c>
      <c r="I17" s="29">
        <f>Accounts!B14</f>
        <v/>
      </c>
    </row>
    <row r="18">
      <c r="A18" s="11" t="inlineStr">
        <is>
          <t>Dining</t>
        </is>
      </c>
      <c r="B18" s="18">
        <f>IFERROR(VLOOKUP(A18,Budget!$A$5:$B$30,2,FALSE),0)</f>
        <v/>
      </c>
      <c r="C18" s="18">
        <f>SUMIFS(Log!$C$5:$C$305,Log!$E$5:$E$305,A18,Log!$D$5:$D$305,"Expense",Log!$A$5:$A$305,"&gt;="&amp;$B$5,Log!$A$5:$A$305,"&lt;="&amp;$D$5)</f>
        <v/>
      </c>
      <c r="D18" s="18">
        <f>B18-C18</f>
        <v/>
      </c>
      <c r="E18" s="28">
        <f>IF(B18=0,IF(C18&gt;0,1,0),C18/B18)</f>
        <v/>
      </c>
      <c r="F18" s="17">
        <f>IF(B18=0,"—",IF(C18&gt;B18,"OVER",IF(C18/B18&gt;=0.9,"CLOSE","OK")))</f>
        <v/>
      </c>
    </row>
    <row r="19">
      <c r="A19" s="11" t="inlineStr">
        <is>
          <t>Transit</t>
        </is>
      </c>
      <c r="B19" s="18">
        <f>IFERROR(VLOOKUP(A19,Budget!$A$5:$B$30,2,FALSE),0)</f>
        <v/>
      </c>
      <c r="C19" s="18">
        <f>SUMIFS(Log!$C$5:$C$305,Log!$E$5:$E$305,A19,Log!$D$5:$D$305,"Expense",Log!$A$5:$A$305,"&gt;="&amp;$B$5,Log!$A$5:$A$305,"&lt;="&amp;$D$5)</f>
        <v/>
      </c>
      <c r="D19" s="18">
        <f>B19-C19</f>
        <v/>
      </c>
      <c r="E19" s="28">
        <f>IF(B19=0,IF(C19&gt;0,1,0),C19/B19)</f>
        <v/>
      </c>
      <c r="F19" s="17">
        <f>IF(B19=0,"—",IF(C19&gt;B19,"OVER",IF(C19/B19&gt;=0.9,"CLOSE","OK")))</f>
        <v/>
      </c>
    </row>
    <row r="20">
      <c r="A20" s="11" t="inlineStr">
        <is>
          <t>Shopping</t>
        </is>
      </c>
      <c r="B20" s="18">
        <f>IFERROR(VLOOKUP(A20,Budget!$A$5:$B$30,2,FALSE),0)</f>
        <v/>
      </c>
      <c r="C20" s="18">
        <f>SUMIFS(Log!$C$5:$C$305,Log!$E$5:$E$305,A20,Log!$D$5:$D$305,"Expense",Log!$A$5:$A$305,"&gt;="&amp;$B$5,Log!$A$5:$A$305,"&lt;="&amp;$D$5)</f>
        <v/>
      </c>
      <c r="D20" s="18">
        <f>B20-C20</f>
        <v/>
      </c>
      <c r="E20" s="28">
        <f>IF(B20=0,IF(C20&gt;0,1,0),C20/B20)</f>
        <v/>
      </c>
      <c r="F20" s="17">
        <f>IF(B20=0,"—",IF(C20&gt;B20,"OVER",IF(C20/B20&gt;=0.9,"CLOSE","OK")))</f>
        <v/>
      </c>
    </row>
    <row r="21">
      <c r="A21" s="11" t="inlineStr">
        <is>
          <t>Personal</t>
        </is>
      </c>
      <c r="B21" s="18">
        <f>IFERROR(VLOOKUP(A21,Budget!$A$5:$B$30,2,FALSE),0)</f>
        <v/>
      </c>
      <c r="C21" s="18">
        <f>SUMIFS(Log!$C$5:$C$305,Log!$E$5:$E$305,A21,Log!$D$5:$D$305,"Expense",Log!$A$5:$A$305,"&gt;="&amp;$B$5,Log!$A$5:$A$305,"&lt;="&amp;$D$5)</f>
        <v/>
      </c>
      <c r="D21" s="18">
        <f>B21-C21</f>
        <v/>
      </c>
      <c r="E21" s="28">
        <f>IF(B21=0,IF(C21&gt;0,1,0),C21/B21)</f>
        <v/>
      </c>
      <c r="F21" s="17">
        <f>IF(B21=0,"—",IF(C21&gt;B21,"OVER",IF(C21/B21&gt;=0.9,"CLOSE","OK")))</f>
        <v/>
      </c>
    </row>
    <row r="22">
      <c r="A22" s="11" t="inlineStr">
        <is>
          <t>Home</t>
        </is>
      </c>
      <c r="B22" s="18">
        <f>IFERROR(VLOOKUP(A22,Budget!$A$5:$B$30,2,FALSE),0)</f>
        <v/>
      </c>
      <c r="C22" s="18">
        <f>SUMIFS(Log!$C$5:$C$305,Log!$E$5:$E$305,A22,Log!$D$5:$D$305,"Expense",Log!$A$5:$A$305,"&gt;="&amp;$B$5,Log!$A$5:$A$305,"&lt;="&amp;$D$5)</f>
        <v/>
      </c>
      <c r="D22" s="18">
        <f>B22-C22</f>
        <v/>
      </c>
      <c r="E22" s="28">
        <f>IF(B22=0,IF(C22&gt;0,1,0),C22/B22)</f>
        <v/>
      </c>
      <c r="F22" s="17">
        <f>IF(B22=0,"—",IF(C22&gt;B22,"OVER",IF(C22/B22&gt;=0.9,"CLOSE","OK")))</f>
        <v/>
      </c>
    </row>
    <row r="23">
      <c r="A23" s="11" t="inlineStr">
        <is>
          <t>Health</t>
        </is>
      </c>
      <c r="B23" s="18">
        <f>IFERROR(VLOOKUP(A23,Budget!$A$5:$B$30,2,FALSE),0)</f>
        <v/>
      </c>
      <c r="C23" s="18">
        <f>SUMIFS(Log!$C$5:$C$305,Log!$E$5:$E$305,A23,Log!$D$5:$D$305,"Expense",Log!$A$5:$A$305,"&gt;="&amp;$B$5,Log!$A$5:$A$305,"&lt;="&amp;$D$5)</f>
        <v/>
      </c>
      <c r="D23" s="18">
        <f>B23-C23</f>
        <v/>
      </c>
      <c r="E23" s="28">
        <f>IF(B23=0,IF(C23&gt;0,1,0),C23/B23)</f>
        <v/>
      </c>
      <c r="F23" s="17">
        <f>IF(B23=0,"—",IF(C23&gt;B23,"OVER",IF(C23/B23&gt;=0.9,"CLOSE","OK")))</f>
        <v/>
      </c>
    </row>
    <row r="24">
      <c r="A24" s="11" t="inlineStr">
        <is>
          <t>Entertainment</t>
        </is>
      </c>
      <c r="B24" s="18">
        <f>IFERROR(VLOOKUP(A24,Budget!$A$5:$B$30,2,FALSE),0)</f>
        <v/>
      </c>
      <c r="C24" s="18">
        <f>SUMIFS(Log!$C$5:$C$305,Log!$E$5:$E$305,A24,Log!$D$5:$D$305,"Expense",Log!$A$5:$A$305,"&gt;="&amp;$B$5,Log!$A$5:$A$305,"&lt;="&amp;$D$5)</f>
        <v/>
      </c>
      <c r="D24" s="18">
        <f>B24-C24</f>
        <v/>
      </c>
      <c r="E24" s="28">
        <f>IF(B24=0,IF(C24&gt;0,1,0),C24/B24)</f>
        <v/>
      </c>
      <c r="F24" s="17">
        <f>IF(B24=0,"—",IF(C24&gt;B24,"OVER",IF(C24/B24&gt;=0.9,"CLOSE","OK")))</f>
        <v/>
      </c>
    </row>
    <row r="25">
      <c r="A25" s="11" t="inlineStr">
        <is>
          <t>Savings</t>
        </is>
      </c>
      <c r="B25" s="18">
        <f>IFERROR(VLOOKUP(A25,Budget!$A$5:$B$30,2,FALSE),0)</f>
        <v/>
      </c>
      <c r="C25" s="18">
        <f>SUMIFS(Log!$C$5:$C$305,Log!$E$5:$E$305,A25,Log!$D$5:$D$305,"Expense",Log!$A$5:$A$305,"&gt;="&amp;$B$5,Log!$A$5:$A$305,"&lt;="&amp;$D$5)</f>
        <v/>
      </c>
      <c r="D25" s="18">
        <f>B25-C25</f>
        <v/>
      </c>
      <c r="E25" s="28">
        <f>IF(B25=0,IF(C25&gt;0,1,0),C25/B25)</f>
        <v/>
      </c>
      <c r="F25" s="17">
        <f>IF(B25=0,"—",IF(C25&gt;B25,"OVER",IF(C25/B25&gt;=0.9,"CLOSE","OK")))</f>
        <v/>
      </c>
    </row>
    <row r="26">
      <c r="A26" s="11" t="inlineStr">
        <is>
          <t>Misc</t>
        </is>
      </c>
      <c r="B26" s="18">
        <f>IFERROR(VLOOKUP(A26,Budget!$A$5:$B$30,2,FALSE),0)</f>
        <v/>
      </c>
      <c r="C26" s="18">
        <f>SUMIFS(Log!$C$5:$C$305,Log!$E$5:$E$305,A26,Log!$D$5:$D$305,"Expense",Log!$A$5:$A$305,"&gt;="&amp;$B$5,Log!$A$5:$A$305,"&lt;="&amp;$D$5)</f>
        <v/>
      </c>
      <c r="D26" s="18">
        <f>B26-C26</f>
        <v/>
      </c>
      <c r="E26" s="28">
        <f>IF(B26=0,IF(C26&gt;0,1,0),C26/B26)</f>
        <v/>
      </c>
      <c r="F26" s="17">
        <f>IF(B26=0,"—",IF(C26&gt;B26,"OVER",IF(C26/B26&gt;=0.9,"CLOSE","OK")))</f>
        <v/>
      </c>
    </row>
    <row r="27">
      <c r="A27" s="30" t="inlineStr">
        <is>
          <t>TOTAL</t>
        </is>
      </c>
      <c r="B27" s="31">
        <f>SUM(B14:B26)</f>
        <v/>
      </c>
      <c r="C27" s="31">
        <f>SUM(C14:C26)</f>
        <v/>
      </c>
      <c r="D27" s="31">
        <f>B27-C27</f>
        <v/>
      </c>
    </row>
    <row r="29">
      <c r="A29" s="21" t="inlineStr">
        <is>
          <t>SPEND BY ACCOUNT (this month)</t>
        </is>
      </c>
    </row>
    <row r="30">
      <c r="A30" s="2" t="inlineStr">
        <is>
          <t>Account</t>
        </is>
      </c>
      <c r="B30" s="2" t="inlineStr">
        <is>
          <t>Spent</t>
        </is>
      </c>
    </row>
    <row r="31">
      <c r="A31" s="17" t="inlineStr">
        <is>
          <t>Checking</t>
        </is>
      </c>
      <c r="B31" s="18">
        <f>SUMIFS(Log!$C$5:$C$305,Log!$F$5:$F$305,A31,Log!$D$5:$D$305,"Expense",Log!$A$5:$A$305,"&gt;="&amp;$B$5,Log!$A$5:$A$305,"&lt;="&amp;$D$5)</f>
        <v/>
      </c>
    </row>
    <row r="32">
      <c r="A32" s="17" t="inlineStr">
        <is>
          <t>Bilt</t>
        </is>
      </c>
      <c r="B32" s="18">
        <f>SUMIFS(Log!$C$5:$C$305,Log!$F$5:$F$305,A32,Log!$D$5:$D$305,"Expense",Log!$A$5:$A$305,"&gt;="&amp;$B$5,Log!$A$5:$A$305,"&lt;="&amp;$D$5)</f>
        <v/>
      </c>
    </row>
    <row r="33">
      <c r="A33" s="17" t="inlineStr">
        <is>
          <t>Apple Card</t>
        </is>
      </c>
      <c r="B33" s="18">
        <f>SUMIFS(Log!$C$5:$C$305,Log!$F$5:$F$305,A33,Log!$D$5:$D$305,"Expense",Log!$A$5:$A$305,"&gt;="&amp;$B$5,Log!$A$5:$A$305,"&lt;="&amp;$D$5)</f>
        <v/>
      </c>
    </row>
    <row r="34">
      <c r="A34" s="17" t="inlineStr">
        <is>
          <t>USAA Credit Card</t>
        </is>
      </c>
      <c r="B34" s="18">
        <f>SUMIFS(Log!$C$5:$C$305,Log!$F$5:$F$305,A34,Log!$D$5:$D$305,"Expense",Log!$A$5:$A$305,"&gt;="&amp;$B$5,Log!$A$5:$A$305,"&lt;="&amp;$D$5)</f>
        <v/>
      </c>
    </row>
    <row r="35">
      <c r="A35" s="17" t="inlineStr">
        <is>
          <t>PayPal</t>
        </is>
      </c>
      <c r="B35" s="18">
        <f>SUMIFS(Log!$C$5:$C$305,Log!$F$5:$F$305,A35,Log!$D$5:$D$305,"Expense",Log!$A$5:$A$305,"&gt;="&amp;$B$5,Log!$A$5:$A$305,"&lt;="&amp;$D$5)</f>
        <v/>
      </c>
    </row>
    <row r="36">
      <c r="A36" s="17" t="inlineStr">
        <is>
          <t>Klarna</t>
        </is>
      </c>
      <c r="B36" s="18">
        <f>SUMIFS(Log!$C$5:$C$305,Log!$F$5:$F$305,A36,Log!$D$5:$D$305,"Expense",Log!$A$5:$A$305,"&gt;="&amp;$B$5,Log!$A$5:$A$305,"&lt;="&amp;$D$5)</f>
        <v/>
      </c>
    </row>
    <row r="37">
      <c r="A37" s="17" t="inlineStr">
        <is>
          <t>Ally Savings</t>
        </is>
      </c>
      <c r="B37" s="18">
        <f>SUMIFS(Log!$C$5:$C$305,Log!$F$5:$F$305,A37,Log!$D$5:$D$305,"Expense",Log!$A$5:$A$305,"&gt;="&amp;$B$5,Log!$A$5:$A$305,"&lt;="&amp;$D$5)</f>
        <v/>
      </c>
    </row>
    <row r="38">
      <c r="A38" s="17" t="inlineStr">
        <is>
          <t>Cash</t>
        </is>
      </c>
      <c r="B38" s="18">
        <f>SUMIFS(Log!$C$5:$C$305,Log!$F$5:$F$305,A38,Log!$D$5:$D$305,"Expense",Log!$A$5:$A$305,"&gt;="&amp;$B$5,Log!$A$5:$A$305,"&lt;="&amp;$D$5)</f>
        <v/>
      </c>
    </row>
    <row r="39">
      <c r="A39" s="17" t="inlineStr">
        <is>
          <t>Other</t>
        </is>
      </c>
      <c r="B39" s="18">
        <f>SUMIFS(Log!$C$5:$C$305,Log!$F$5:$F$305,A39,Log!$D$5:$D$305,"Expense",Log!$A$5:$A$305,"&gt;="&amp;$B$5,Log!$A$5:$A$305,"&lt;="&amp;$D$5)</f>
        <v/>
      </c>
    </row>
  </sheetData>
  <mergeCells count="3">
    <mergeCell ref="A2:F2"/>
    <mergeCell ref="A1:F1"/>
    <mergeCell ref="A10:D10"/>
  </mergeCells>
  <conditionalFormatting sqref="F14:F26">
    <cfRule type="expression" priority="1" dxfId="0">
      <formula>F14="OVER"</formula>
    </cfRule>
    <cfRule type="expression" priority="2" dxfId="1">
      <formula>F14="CLOSE"</formula>
    </cfRule>
    <cfRule type="expression" priority="3" dxfId="2">
      <formula>F14="OK"</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16" customWidth="1" min="1" max="1"/>
    <col width="16" customWidth="1" min="2" max="2"/>
    <col width="40" customWidth="1" min="3" max="3"/>
  </cols>
  <sheetData>
    <row r="1">
      <c r="A1" s="1" t="inlineStr">
        <is>
          <t>MONTHLY BUDGET TARGETS</t>
        </is>
      </c>
    </row>
    <row r="2">
      <c r="A2" s="5" t="inlineStr">
        <is>
          <t>Edit the yellow cells. Dashboard compares this month’s Log against these targets.</t>
        </is>
      </c>
    </row>
    <row r="4">
      <c r="A4" s="2" t="inlineStr">
        <is>
          <t>Category</t>
        </is>
      </c>
      <c r="B4" s="2" t="inlineStr">
        <is>
          <t>Monthly Budget</t>
        </is>
      </c>
      <c r="C4" s="2" t="inlineStr">
        <is>
          <t>Notes</t>
        </is>
      </c>
    </row>
    <row r="5">
      <c r="A5" s="17" t="inlineStr">
        <is>
          <t>Rent</t>
        </is>
      </c>
      <c r="B5" s="32" t="n">
        <v>1120</v>
      </c>
      <c r="C5" s="33" t="inlineStr">
        <is>
          <t>Monthly rent</t>
        </is>
      </c>
    </row>
    <row r="6">
      <c r="A6" s="17" t="inlineStr">
        <is>
          <t>Utilities</t>
        </is>
      </c>
      <c r="B6" s="32" t="n">
        <v>80</v>
      </c>
      <c r="C6" s="33" t="inlineStr">
        <is>
          <t>ConEd + National Grid typical</t>
        </is>
      </c>
    </row>
    <row r="7">
      <c r="A7" s="17" t="inlineStr">
        <is>
          <t>Subscriptions</t>
        </is>
      </c>
      <c r="B7" s="32" t="n">
        <v>254</v>
      </c>
      <c r="C7" s="33" t="inlineStr">
        <is>
          <t>~monthly recurrings</t>
        </is>
      </c>
    </row>
    <row r="8">
      <c r="A8" s="17" t="inlineStr">
        <is>
          <t>Grocery</t>
        </is>
      </c>
      <c r="B8" s="32" t="n">
        <v>400</v>
      </c>
      <c r="C8" s="33" t="inlineStr">
        <is>
          <t>DoorDash + City Fresh</t>
        </is>
      </c>
    </row>
    <row r="9">
      <c r="A9" s="17" t="inlineStr">
        <is>
          <t>Dining</t>
        </is>
      </c>
      <c r="B9" s="32" t="n">
        <v>200</v>
      </c>
      <c r="C9" s="33" t="inlineStr">
        <is>
          <t>Coffee, bodega, restaurants</t>
        </is>
      </c>
    </row>
    <row r="10">
      <c r="A10" s="17" t="inlineStr">
        <is>
          <t>Transit</t>
        </is>
      </c>
      <c r="B10" s="32" t="n">
        <v>60</v>
      </c>
      <c r="C10" s="33" t="inlineStr">
        <is>
          <t>Monthly transit</t>
        </is>
      </c>
    </row>
    <row r="11">
      <c r="A11" s="17" t="inlineStr">
        <is>
          <t>Shopping</t>
        </is>
      </c>
      <c r="B11" s="32" t="n">
        <v>150</v>
      </c>
      <c r="C11" s="33" t="inlineStr">
        <is>
          <t>Amazon / retail</t>
        </is>
      </c>
    </row>
    <row r="12">
      <c r="A12" s="17" t="inlineStr">
        <is>
          <t>Personal</t>
        </is>
      </c>
      <c r="B12" s="32" t="n">
        <v>75</v>
      </c>
      <c r="C12" s="33" t="inlineStr">
        <is>
          <t>Personal care</t>
        </is>
      </c>
    </row>
    <row r="13">
      <c r="A13" s="17" t="inlineStr">
        <is>
          <t>Home</t>
        </is>
      </c>
      <c r="B13" s="32" t="n">
        <v>50</v>
      </c>
      <c r="C13" s="33" t="inlineStr">
        <is>
          <t>Hardware / apartment</t>
        </is>
      </c>
    </row>
    <row r="14">
      <c r="A14" s="17" t="inlineStr">
        <is>
          <t>Health</t>
        </is>
      </c>
      <c r="B14" s="32" t="n">
        <v>20</v>
      </c>
      <c r="C14" s="33" t="inlineStr">
        <is>
          <t>Beyond listed meds</t>
        </is>
      </c>
    </row>
    <row r="15">
      <c r="A15" s="17" t="inlineStr">
        <is>
          <t>Entertainment</t>
        </is>
      </c>
      <c r="B15" s="32" t="n">
        <v>40</v>
      </c>
      <c r="C15" s="33" t="inlineStr">
        <is>
          <t>Outings</t>
        </is>
      </c>
    </row>
    <row r="16">
      <c r="A16" s="17" t="inlineStr">
        <is>
          <t>Savings</t>
        </is>
      </c>
      <c r="B16" s="32" t="n">
        <v>200</v>
      </c>
      <c r="C16" s="33" t="inlineStr">
        <is>
          <t>To Ally</t>
        </is>
      </c>
    </row>
    <row r="17">
      <c r="A17" s="17" t="inlineStr">
        <is>
          <t>Misc</t>
        </is>
      </c>
      <c r="B17" s="32" t="n">
        <v>100</v>
      </c>
      <c r="C17" s="33" t="inlineStr">
        <is>
          <t>Buffer</t>
        </is>
      </c>
    </row>
    <row r="18">
      <c r="A18" s="34" t="inlineStr">
        <is>
          <t>TOTAL BUDGET</t>
        </is>
      </c>
      <c r="B18" s="35">
        <f>SUM(B5:B17)</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8" customWidth="1" min="1" max="1"/>
    <col width="12" customWidth="1" min="2" max="2"/>
    <col width="12" customWidth="1" min="3" max="3"/>
    <col width="28" customWidth="1" min="4" max="4"/>
  </cols>
  <sheetData>
    <row r="1">
      <c r="A1" s="1" t="inlineStr">
        <is>
          <t>INCOME PLAN</t>
        </is>
      </c>
    </row>
    <row r="2">
      <c r="A2" s="5" t="inlineStr">
        <is>
          <t>Expected money in for a normal month. Powers Dashboard “Planned left”.</t>
        </is>
      </c>
    </row>
    <row r="4">
      <c r="A4" s="2" t="inlineStr">
        <is>
          <t>Source</t>
        </is>
      </c>
      <c r="B4" s="2" t="inlineStr">
        <is>
          <t>Amount</t>
        </is>
      </c>
      <c r="C4" s="2" t="inlineStr">
        <is>
          <t>Cadence</t>
        </is>
      </c>
      <c r="D4" s="2" t="inlineStr">
        <is>
          <t>Notes</t>
        </is>
      </c>
    </row>
    <row r="5">
      <c r="A5" s="17" t="inlineStr">
        <is>
          <t>Paycheck 1</t>
        </is>
      </c>
      <c r="B5" s="32" t="n">
        <v>1615</v>
      </c>
      <c r="C5" s="17" t="inlineStr">
        <is>
          <t>Biweekly</t>
        </is>
      </c>
      <c r="D5" s="17" t="inlineStr">
        <is>
          <t>Checking</t>
        </is>
      </c>
    </row>
    <row r="6">
      <c r="A6" s="17" t="inlineStr">
        <is>
          <t>Paycheck 2</t>
        </is>
      </c>
      <c r="B6" s="32" t="n">
        <v>1615</v>
      </c>
      <c r="C6" s="17" t="inlineStr">
        <is>
          <t>Biweekly</t>
        </is>
      </c>
      <c r="D6" s="17" t="inlineStr">
        <is>
          <t>Checking</t>
        </is>
      </c>
    </row>
    <row r="7">
      <c r="A7" s="17" t="inlineStr">
        <is>
          <t>Alliance Stipend</t>
        </is>
      </c>
      <c r="B7" s="32" t="n">
        <v>75</v>
      </c>
      <c r="C7" s="17" t="inlineStr">
        <is>
          <t>Monthly</t>
        </is>
      </c>
      <c r="D7" s="17" t="inlineStr">
        <is>
          <t>Offsets internet</t>
        </is>
      </c>
    </row>
    <row r="8">
      <c r="A8" s="17" t="inlineStr">
        <is>
          <t>Extra income</t>
        </is>
      </c>
      <c r="B8" s="32" t="n">
        <v>0</v>
      </c>
      <c r="C8" s="17" t="inlineStr">
        <is>
          <t>Variable</t>
        </is>
      </c>
      <c r="D8" s="17" t="inlineStr">
        <is>
          <t>Gigs, refunds</t>
        </is>
      </c>
    </row>
    <row r="10">
      <c r="A10" s="19" t="inlineStr">
        <is>
          <t>Expected monthly income</t>
        </is>
      </c>
      <c r="B10" s="36">
        <f>SUM(B5:B8)</f>
        <v/>
      </c>
    </row>
    <row r="12">
      <c r="A12" t="inlineStr">
        <is>
          <t>Dashboard reference</t>
        </is>
      </c>
      <c r="B12" s="37">
        <f>B10</f>
        <v/>
      </c>
    </row>
    <row r="14">
      <c r="A14" s="5" t="inlineStr">
        <is>
          <t>When paid: Log row with Type=Income, Category=Income.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3"/>
  <sheetViews>
    <sheetView workbookViewId="0">
      <pane ySplit="4" topLeftCell="A5" activePane="bottomLeft" state="frozen"/>
      <selection pane="bottomLeft" activeCell="A1" sqref="A1"/>
    </sheetView>
  </sheetViews>
  <sheetFormatPr baseColWidth="8" defaultRowHeight="15"/>
  <cols>
    <col width="22" customWidth="1" min="1" max="1"/>
    <col width="11" customWidth="1" min="2" max="2"/>
    <col width="12" customWidth="1" min="3" max="3"/>
    <col width="14" customWidth="1" min="4" max="4"/>
    <col width="16" customWidth="1" min="5" max="5"/>
    <col width="8" customWidth="1" min="6" max="6"/>
    <col width="12" customWidth="1" min="7" max="7"/>
    <col width="36" customWidth="1" min="8" max="8"/>
  </cols>
  <sheetData>
    <row r="1">
      <c r="A1" s="1" t="inlineStr">
        <is>
          <t>RECURRING BILLS &amp; SUBSCRIPTIONS</t>
        </is>
      </c>
    </row>
    <row r="2">
      <c r="A2" s="5" t="inlineStr">
        <is>
          <t>Checklist of what should hit. Still log each charge on Log so the month totals stay correct.</t>
        </is>
      </c>
    </row>
    <row r="4">
      <c r="A4" s="2" t="inlineStr">
        <is>
          <t>Name</t>
        </is>
      </c>
      <c r="B4" s="2" t="inlineStr">
        <is>
          <t>Amount</t>
        </is>
      </c>
      <c r="C4" s="2" t="inlineStr">
        <is>
          <t>Frequency</t>
        </is>
      </c>
      <c r="D4" s="2" t="inlineStr">
        <is>
          <t>Category</t>
        </is>
      </c>
      <c r="E4" s="2" t="inlineStr">
        <is>
          <t>Account</t>
        </is>
      </c>
      <c r="F4" s="2" t="inlineStr">
        <is>
          <t>Active</t>
        </is>
      </c>
      <c r="G4" s="2" t="inlineStr">
        <is>
          <t>Monthly $</t>
        </is>
      </c>
      <c r="H4" s="2" t="inlineStr">
        <is>
          <t>Notes</t>
        </is>
      </c>
    </row>
    <row r="5">
      <c r="A5" s="17" t="inlineStr">
        <is>
          <t>Rent</t>
        </is>
      </c>
      <c r="B5" s="32" t="n">
        <v>1120</v>
      </c>
      <c r="C5" s="17" t="inlineStr">
        <is>
          <t>Monthly</t>
        </is>
      </c>
      <c r="D5" s="17" t="inlineStr">
        <is>
          <t>Rent</t>
        </is>
      </c>
      <c r="E5" s="17" t="inlineStr">
        <is>
          <t>Checking</t>
        </is>
      </c>
      <c r="F5" s="38" t="inlineStr">
        <is>
          <t>Y</t>
        </is>
      </c>
      <c r="G5" s="18">
        <f>IF(F5&lt;&gt;"Y",0,IF(C5="Annually",B5/12,IF(C5="Quarterly",B5/3,IF(C5="Weekly",B5*52/12,IF(C5="Biweekly",B5*26/12,B5)))))</f>
        <v/>
      </c>
      <c r="H5" s="33" t="inlineStr"/>
    </row>
    <row r="6">
      <c r="A6" s="17" t="inlineStr">
        <is>
          <t>Electricity (ConEd)</t>
        </is>
      </c>
      <c r="B6" s="32" t="n">
        <v>52</v>
      </c>
      <c r="C6" s="17" t="inlineStr">
        <is>
          <t>Monthly</t>
        </is>
      </c>
      <c r="D6" s="17" t="inlineStr">
        <is>
          <t>Utilities</t>
        </is>
      </c>
      <c r="E6" s="17" t="inlineStr">
        <is>
          <t>Checking</t>
        </is>
      </c>
      <c r="F6" s="38" t="inlineStr">
        <is>
          <t>Y</t>
        </is>
      </c>
      <c r="G6" s="18">
        <f>IF(F6&lt;&gt;"Y",0,IF(C6="Annually",B6/12,IF(C6="Quarterly",B6/3,IF(C6="Weekly",B6*52/12,IF(C6="Biweekly",B6*26/12,B6)))))</f>
        <v/>
      </c>
      <c r="H6" s="33" t="inlineStr">
        <is>
          <t>Varies</t>
        </is>
      </c>
    </row>
    <row r="7">
      <c r="A7" s="17" t="inlineStr">
        <is>
          <t>Gas (National Grid)</t>
        </is>
      </c>
      <c r="B7" s="32" t="n">
        <v>26</v>
      </c>
      <c r="C7" s="17" t="inlineStr">
        <is>
          <t>Monthly</t>
        </is>
      </c>
      <c r="D7" s="17" t="inlineStr">
        <is>
          <t>Utilities</t>
        </is>
      </c>
      <c r="E7" s="17" t="inlineStr">
        <is>
          <t>Checking</t>
        </is>
      </c>
      <c r="F7" s="38" t="inlineStr">
        <is>
          <t>Y</t>
        </is>
      </c>
      <c r="G7" s="18">
        <f>IF(F7&lt;&gt;"Y",0,IF(C7="Annually",B7/12,IF(C7="Quarterly",B7/3,IF(C7="Weekly",B7*52/12,IF(C7="Biweekly",B7*26/12,B7)))))</f>
        <v/>
      </c>
      <c r="H7" s="33" t="inlineStr"/>
    </row>
    <row r="8">
      <c r="A8" s="17" t="inlineStr">
        <is>
          <t>Transit</t>
        </is>
      </c>
      <c r="B8" s="32" t="n">
        <v>60</v>
      </c>
      <c r="C8" s="17" t="inlineStr">
        <is>
          <t>Monthly</t>
        </is>
      </c>
      <c r="D8" s="17" t="inlineStr">
        <is>
          <t>Transit</t>
        </is>
      </c>
      <c r="E8" s="17" t="inlineStr">
        <is>
          <t>Checking</t>
        </is>
      </c>
      <c r="F8" s="38" t="inlineStr">
        <is>
          <t>Y</t>
        </is>
      </c>
      <c r="G8" s="18">
        <f>IF(F8&lt;&gt;"Y",0,IF(C8="Annually",B8/12,IF(C8="Quarterly",B8/3,IF(C8="Weekly",B8*52/12,IF(C8="Biweekly",B8*26/12,B8)))))</f>
        <v/>
      </c>
      <c r="H8" s="33" t="inlineStr"/>
    </row>
    <row r="9">
      <c r="A9" s="17" t="inlineStr">
        <is>
          <t>Savings transfer</t>
        </is>
      </c>
      <c r="B9" s="32" t="n">
        <v>200</v>
      </c>
      <c r="C9" s="17" t="inlineStr">
        <is>
          <t>Monthly</t>
        </is>
      </c>
      <c r="D9" s="17" t="inlineStr">
        <is>
          <t>Savings</t>
        </is>
      </c>
      <c r="E9" s="17" t="inlineStr">
        <is>
          <t>Ally Savings</t>
        </is>
      </c>
      <c r="F9" s="38" t="inlineStr">
        <is>
          <t>Y</t>
        </is>
      </c>
      <c r="G9" s="18">
        <f>IF(F9&lt;&gt;"Y",0,IF(C9="Annually",B9/12,IF(C9="Quarterly",B9/3,IF(C9="Weekly",B9*52/12,IF(C9="Biweekly",B9*26/12,B9)))))</f>
        <v/>
      </c>
      <c r="H9" s="33" t="inlineStr">
        <is>
          <t>Pay yourself first</t>
        </is>
      </c>
    </row>
    <row r="10">
      <c r="A10" s="17" t="inlineStr">
        <is>
          <t>Amazon Prime</t>
        </is>
      </c>
      <c r="B10" s="32" t="n">
        <v>16.32</v>
      </c>
      <c r="C10" s="17" t="inlineStr">
        <is>
          <t>Monthly</t>
        </is>
      </c>
      <c r="D10" s="17" t="inlineStr">
        <is>
          <t>Subscriptions</t>
        </is>
      </c>
      <c r="E10" s="17" t="inlineStr">
        <is>
          <t>Bilt</t>
        </is>
      </c>
      <c r="F10" s="38" t="inlineStr">
        <is>
          <t>Y</t>
        </is>
      </c>
      <c r="G10" s="18">
        <f>IF(F10&lt;&gt;"Y",0,IF(C10="Annually",B10/12,IF(C10="Quarterly",B10/3,IF(C10="Weekly",B10*52/12,IF(C10="Biweekly",B10*26/12,B10)))))</f>
        <v/>
      </c>
      <c r="H10" s="33" t="inlineStr"/>
    </row>
    <row r="11">
      <c r="A11" s="17" t="inlineStr">
        <is>
          <t>Splice</t>
        </is>
      </c>
      <c r="B11" s="32" t="n">
        <v>12</v>
      </c>
      <c r="C11" s="17" t="inlineStr">
        <is>
          <t>Monthly</t>
        </is>
      </c>
      <c r="D11" s="17" t="inlineStr">
        <is>
          <t>Subscriptions</t>
        </is>
      </c>
      <c r="E11" s="17" t="inlineStr">
        <is>
          <t>Bilt</t>
        </is>
      </c>
      <c r="F11" s="38" t="inlineStr">
        <is>
          <t>Y</t>
        </is>
      </c>
      <c r="G11" s="18">
        <f>IF(F11&lt;&gt;"Y",0,IF(C11="Annually",B11/12,IF(C11="Quarterly",B11/3,IF(C11="Weekly",B11*52/12,IF(C11="Biweekly",B11*26/12,B11)))))</f>
        <v/>
      </c>
      <c r="H11" s="33" t="inlineStr"/>
    </row>
    <row r="12">
      <c r="A12" s="17" t="inlineStr">
        <is>
          <t>iCloud</t>
        </is>
      </c>
      <c r="B12" s="32" t="n">
        <v>2.99</v>
      </c>
      <c r="C12" s="17" t="inlineStr">
        <is>
          <t>Monthly</t>
        </is>
      </c>
      <c r="D12" s="17" t="inlineStr">
        <is>
          <t>Subscriptions</t>
        </is>
      </c>
      <c r="E12" s="17" t="inlineStr">
        <is>
          <t>Apple Card</t>
        </is>
      </c>
      <c r="F12" s="38" t="inlineStr">
        <is>
          <t>Y</t>
        </is>
      </c>
      <c r="G12" s="18">
        <f>IF(F12&lt;&gt;"Y",0,IF(C12="Annually",B12/12,IF(C12="Quarterly",B12/3,IF(C12="Weekly",B12*52/12,IF(C12="Biweekly",B12*26/12,B12)))))</f>
        <v/>
      </c>
      <c r="H12" s="33" t="inlineStr"/>
    </row>
    <row r="13">
      <c r="A13" s="17" t="inlineStr">
        <is>
          <t>Tidal</t>
        </is>
      </c>
      <c r="B13" s="32" t="n">
        <v>19</v>
      </c>
      <c r="C13" s="17" t="inlineStr">
        <is>
          <t>Monthly</t>
        </is>
      </c>
      <c r="D13" s="17" t="inlineStr">
        <is>
          <t>Subscriptions</t>
        </is>
      </c>
      <c r="E13" s="17" t="inlineStr">
        <is>
          <t>Bilt</t>
        </is>
      </c>
      <c r="F13" s="38" t="inlineStr">
        <is>
          <t>Y</t>
        </is>
      </c>
      <c r="G13" s="18">
        <f>IF(F13&lt;&gt;"Y",0,IF(C13="Annually",B13/12,IF(C13="Quarterly",B13/3,IF(C13="Weekly",B13*52/12,IF(C13="Biweekly",B13*26/12,B13)))))</f>
        <v/>
      </c>
      <c r="H13" s="33" t="inlineStr">
        <is>
          <t>17th of every month</t>
        </is>
      </c>
    </row>
    <row r="14">
      <c r="A14" s="17" t="inlineStr">
        <is>
          <t>Internet</t>
        </is>
      </c>
      <c r="B14" s="32" t="n">
        <v>50</v>
      </c>
      <c r="C14" s="17" t="inlineStr">
        <is>
          <t>Monthly</t>
        </is>
      </c>
      <c r="D14" s="17" t="inlineStr">
        <is>
          <t>Subscriptions</t>
        </is>
      </c>
      <c r="E14" s="17" t="inlineStr">
        <is>
          <t>Bilt</t>
        </is>
      </c>
      <c r="F14" s="38" t="inlineStr">
        <is>
          <t>Y</t>
        </is>
      </c>
      <c r="G14" s="18">
        <f>IF(F14&lt;&gt;"Y",0,IF(C14="Annually",B14/12,IF(C14="Quarterly",B14/3,IF(C14="Weekly",B14*52/12,IF(C14="Biweekly",B14*26/12,B14)))))</f>
        <v/>
      </c>
      <c r="H14" s="33" t="inlineStr">
        <is>
          <t>Alliance Stipend covers this</t>
        </is>
      </c>
    </row>
    <row r="15">
      <c r="A15" s="17" t="inlineStr">
        <is>
          <t>Absolute Power</t>
        </is>
      </c>
      <c r="B15" s="32" t="n">
        <v>53.25</v>
      </c>
      <c r="C15" s="17" t="inlineStr">
        <is>
          <t>Monthly</t>
        </is>
      </c>
      <c r="D15" s="17" t="inlineStr">
        <is>
          <t>Subscriptions</t>
        </is>
      </c>
      <c r="E15" s="17" t="inlineStr">
        <is>
          <t>Bilt</t>
        </is>
      </c>
      <c r="F15" s="38" t="inlineStr">
        <is>
          <t>Y</t>
        </is>
      </c>
      <c r="G15" s="18">
        <f>IF(F15&lt;&gt;"Y",0,IF(C15="Annually",B15/12,IF(C15="Quarterly",B15/3,IF(C15="Weekly",B15*52/12,IF(C15="Biweekly",B15*26/12,B15)))))</f>
        <v/>
      </c>
      <c r="H15" s="33" t="inlineStr">
        <is>
          <t>15th of every month</t>
        </is>
      </c>
    </row>
    <row r="16">
      <c r="A16" s="17" t="inlineStr">
        <is>
          <t>finasteride</t>
        </is>
      </c>
      <c r="B16" s="32" t="n">
        <v>20</v>
      </c>
      <c r="C16" s="17" t="inlineStr">
        <is>
          <t>Monthly</t>
        </is>
      </c>
      <c r="D16" s="17" t="inlineStr">
        <is>
          <t>Subscriptions</t>
        </is>
      </c>
      <c r="E16" s="17" t="inlineStr">
        <is>
          <t>Bilt</t>
        </is>
      </c>
      <c r="F16" s="38" t="inlineStr">
        <is>
          <t>Y</t>
        </is>
      </c>
      <c r="G16" s="18">
        <f>IF(F16&lt;&gt;"Y",0,IF(C16="Annually",B16/12,IF(C16="Quarterly",B16/3,IF(C16="Weekly",B16*52/12,IF(C16="Biweekly",B16*26/12,B16)))))</f>
        <v/>
      </c>
      <c r="H16" s="33" t="inlineStr"/>
    </row>
    <row r="17">
      <c r="A17" s="17" t="inlineStr">
        <is>
          <t>Google Cloud</t>
        </is>
      </c>
      <c r="B17" s="32" t="n">
        <v>20</v>
      </c>
      <c r="C17" s="17" t="inlineStr">
        <is>
          <t>Monthly</t>
        </is>
      </c>
      <c r="D17" s="17" t="inlineStr">
        <is>
          <t>Subscriptions</t>
        </is>
      </c>
      <c r="E17" s="17" t="inlineStr">
        <is>
          <t>Checking</t>
        </is>
      </c>
      <c r="F17" s="38" t="inlineStr">
        <is>
          <t>Y</t>
        </is>
      </c>
      <c r="G17" s="18">
        <f>IF(F17&lt;&gt;"Y",0,IF(C17="Annually",B17/12,IF(C17="Quarterly",B17/3,IF(C17="Weekly",B17*52/12,IF(C17="Biweekly",B17*26/12,B17)))))</f>
        <v/>
      </c>
      <c r="H17" s="33" t="inlineStr">
        <is>
          <t>Cap ~$20 (was over before)</t>
        </is>
      </c>
    </row>
    <row r="18">
      <c r="A18" s="17" t="inlineStr">
        <is>
          <t>CursorAI</t>
        </is>
      </c>
      <c r="B18" s="32" t="n">
        <v>60</v>
      </c>
      <c r="C18" s="17" t="inlineStr">
        <is>
          <t>Monthly</t>
        </is>
      </c>
      <c r="D18" s="17" t="inlineStr">
        <is>
          <t>Subscriptions</t>
        </is>
      </c>
      <c r="E18" s="17" t="inlineStr">
        <is>
          <t>Bilt</t>
        </is>
      </c>
      <c r="F18" s="38" t="inlineStr">
        <is>
          <t>Y</t>
        </is>
      </c>
      <c r="G18" s="18">
        <f>IF(F18&lt;&gt;"Y",0,IF(C18="Annually",B18/12,IF(C18="Quarterly",B18/3,IF(C18="Weekly",B18*52/12,IF(C18="Biweekly",B18*26/12,B18)))))</f>
        <v/>
      </c>
      <c r="H18" s="33" t="inlineStr"/>
    </row>
    <row r="19">
      <c r="A19" s="17" t="inlineStr">
        <is>
          <t>Soundiiz</t>
        </is>
      </c>
      <c r="B19" s="32" t="n">
        <v>24</v>
      </c>
      <c r="C19" s="17" t="inlineStr">
        <is>
          <t>Annually</t>
        </is>
      </c>
      <c r="D19" s="17" t="inlineStr">
        <is>
          <t>Subscriptions</t>
        </is>
      </c>
      <c r="E19" s="17" t="inlineStr">
        <is>
          <t>Bilt</t>
        </is>
      </c>
      <c r="F19" s="38" t="inlineStr">
        <is>
          <t>Y</t>
        </is>
      </c>
      <c r="G19" s="18">
        <f>IF(F19&lt;&gt;"Y",0,IF(C19="Annually",B19/12,IF(C19="Quarterly",B19/3,IF(C19="Weekly",B19*52/12,IF(C19="Biweekly",B19*26/12,B19)))))</f>
        <v/>
      </c>
      <c r="H19" s="33" t="inlineStr"/>
    </row>
    <row r="20">
      <c r="A20" s="17" t="inlineStr">
        <is>
          <t>Healthy Vocal</t>
        </is>
      </c>
      <c r="B20" s="32" t="n">
        <v>40</v>
      </c>
      <c r="C20" s="17" t="inlineStr">
        <is>
          <t>Annually</t>
        </is>
      </c>
      <c r="D20" s="17" t="inlineStr">
        <is>
          <t>Subscriptions</t>
        </is>
      </c>
      <c r="E20" s="17" t="inlineStr">
        <is>
          <t>Bilt</t>
        </is>
      </c>
      <c r="F20" s="38" t="inlineStr">
        <is>
          <t>Y</t>
        </is>
      </c>
      <c r="G20" s="18">
        <f>IF(F20&lt;&gt;"Y",0,IF(C20="Annually",B20/12,IF(C20="Quarterly",B20/3,IF(C20="Weekly",B20*52/12,IF(C20="Biweekly",B20*26/12,B20)))))</f>
        <v/>
      </c>
      <c r="H20" s="33" t="inlineStr"/>
    </row>
    <row r="21">
      <c r="A21" s="17" t="inlineStr">
        <is>
          <t>Apple Dev program</t>
        </is>
      </c>
      <c r="B21" s="32" t="n">
        <v>99</v>
      </c>
      <c r="C21" s="17" t="inlineStr">
        <is>
          <t>Annually</t>
        </is>
      </c>
      <c r="D21" s="17" t="inlineStr">
        <is>
          <t>Subscriptions</t>
        </is>
      </c>
      <c r="E21" s="17" t="inlineStr">
        <is>
          <t>Bilt</t>
        </is>
      </c>
      <c r="F21" s="38" t="inlineStr">
        <is>
          <t>Y</t>
        </is>
      </c>
      <c r="G21" s="18">
        <f>IF(F21&lt;&gt;"Y",0,IF(C21="Annually",B21/12,IF(C21="Quarterly",B21/3,IF(C21="Weekly",B21*52/12,IF(C21="Biweekly",B21*26/12,B21)))))</f>
        <v/>
      </c>
      <c r="H21" s="33" t="inlineStr"/>
    </row>
    <row r="23">
      <c r="A23" s="19" t="inlineStr">
        <is>
          <t>Monthly equivalent total (active)</t>
        </is>
      </c>
      <c r="B23" s="35">
        <f>SUM(G5:G21)</f>
        <v/>
      </c>
    </row>
  </sheetData>
  <mergeCells count="1">
    <mergeCell ref="A2:H2"/>
  </mergeCells>
  <dataValidations count="4">
    <dataValidation sqref="C5:C41" showDropDown="0" showInputMessage="0" showErrorMessage="0" allowBlank="1" type="list">
      <formula1>Setup!$E$2:$E$7</formula1>
    </dataValidation>
    <dataValidation sqref="D5:D41" showDropDown="0" showInputMessage="0" showErrorMessage="0" allowBlank="1" type="list">
      <formula1>Setup!$A$2:$A$16</formula1>
    </dataValidation>
    <dataValidation sqref="E5:E41" showDropDown="0" showInputMessage="0" showErrorMessage="0" allowBlank="1" type="list">
      <formula1>Setup!$B$2:$B$10</formula1>
    </dataValidation>
    <dataValidation sqref="F5:F41" showDropDown="0" showInputMessage="0" showErrorMessage="0" allowBlank="1" type="list">
      <formula1>"Y,N"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8" customWidth="1" min="1" max="1"/>
    <col width="18" customWidth="1" min="2" max="2"/>
    <col width="14" customWidth="1" min="3" max="3"/>
    <col width="12" customWidth="1" min="4" max="4"/>
    <col width="14" customWidth="1" min="5" max="5"/>
    <col width="40" customWidth="1" min="6" max="6"/>
  </cols>
  <sheetData>
    <row r="1">
      <c r="A1" s="1" t="inlineStr">
        <is>
          <t>ACCOUNTS &amp; BALANCES</t>
        </is>
      </c>
    </row>
    <row r="2">
      <c r="A2" s="5" t="inlineStr">
        <is>
          <t>Update when you check the bank. For credit cards, put amount OWED in column C.</t>
        </is>
      </c>
    </row>
    <row r="4">
      <c r="A4" s="2" t="inlineStr">
        <is>
          <t>Account</t>
        </is>
      </c>
      <c r="B4" s="2" t="inlineStr">
        <is>
          <t>Balance / Available</t>
        </is>
      </c>
      <c r="C4" s="2" t="inlineStr">
        <is>
          <t>Owed (cards)</t>
        </is>
      </c>
      <c r="D4" s="2" t="inlineStr">
        <is>
          <t>Type</t>
        </is>
      </c>
      <c r="E4" s="2" t="inlineStr">
        <is>
          <t>Last updated</t>
        </is>
      </c>
      <c r="F4" s="2" t="inlineStr">
        <is>
          <t>Notes</t>
        </is>
      </c>
    </row>
    <row r="5">
      <c r="A5" s="17" t="inlineStr">
        <is>
          <t>Checking</t>
        </is>
      </c>
      <c r="B5" s="32" t="n">
        <v>0</v>
      </c>
      <c r="C5" s="32" t="n">
        <v>0</v>
      </c>
      <c r="D5" s="17" t="inlineStr">
        <is>
          <t>Bank</t>
        </is>
      </c>
      <c r="E5" s="38" t="n"/>
      <c r="F5" s="33" t="inlineStr">
        <is>
          <t>Primary spending</t>
        </is>
      </c>
    </row>
    <row r="6">
      <c r="A6" s="17" t="inlineStr">
        <is>
          <t>Bilt</t>
        </is>
      </c>
      <c r="B6" s="32" t="n">
        <v>0</v>
      </c>
      <c r="C6" s="32" t="n">
        <v>328.5</v>
      </c>
      <c r="D6" s="17" t="inlineStr">
        <is>
          <t>Credit card</t>
        </is>
      </c>
      <c r="E6" s="39" t="n">
        <v>46162</v>
      </c>
      <c r="F6" s="33" t="inlineStr">
        <is>
          <t>Update from app</t>
        </is>
      </c>
    </row>
    <row r="7">
      <c r="A7" s="17" t="inlineStr">
        <is>
          <t>Apple Card</t>
        </is>
      </c>
      <c r="B7" s="32" t="n">
        <v>0</v>
      </c>
      <c r="C7" s="32" t="n">
        <v>0</v>
      </c>
      <c r="D7" s="17" t="inlineStr">
        <is>
          <t>Credit card</t>
        </is>
      </c>
      <c r="E7" s="38" t="n"/>
      <c r="F7" s="33" t="inlineStr"/>
    </row>
    <row r="8">
      <c r="A8" s="17" t="inlineStr">
        <is>
          <t>USAA Credit Card</t>
        </is>
      </c>
      <c r="B8" s="32" t="n">
        <v>0</v>
      </c>
      <c r="C8" s="32" t="n">
        <v>0</v>
      </c>
      <c r="D8" s="17" t="inlineStr">
        <is>
          <t>Credit card</t>
        </is>
      </c>
      <c r="E8" s="38" t="n"/>
      <c r="F8" s="33" t="inlineStr"/>
    </row>
    <row r="9">
      <c r="A9" s="17" t="inlineStr">
        <is>
          <t>PayPal</t>
        </is>
      </c>
      <c r="B9" s="32" t="n">
        <v>0</v>
      </c>
      <c r="C9" s="32" t="n">
        <v>0</v>
      </c>
      <c r="D9" s="17" t="inlineStr">
        <is>
          <t>Wallet</t>
        </is>
      </c>
      <c r="E9" s="38" t="n"/>
      <c r="F9" s="33" t="inlineStr"/>
    </row>
    <row r="10">
      <c r="A10" s="17" t="inlineStr">
        <is>
          <t>Klarna</t>
        </is>
      </c>
      <c r="B10" s="32" t="n">
        <v>0</v>
      </c>
      <c r="C10" s="32" t="n">
        <v>0</v>
      </c>
      <c r="D10" s="17" t="inlineStr">
        <is>
          <t>BNPL</t>
        </is>
      </c>
      <c r="E10" s="38" t="n"/>
      <c r="F10" s="33" t="inlineStr"/>
    </row>
    <row r="11">
      <c r="A11" s="17" t="inlineStr">
        <is>
          <t>Ally Savings</t>
        </is>
      </c>
      <c r="B11" s="32" t="n">
        <v>8525.549999999999</v>
      </c>
      <c r="C11" s="32" t="n">
        <v>0</v>
      </c>
      <c r="D11" s="17" t="inlineStr">
        <is>
          <t>Savings</t>
        </is>
      </c>
      <c r="E11" s="39" t="n">
        <v>46174</v>
      </c>
      <c r="F11" s="33" t="inlineStr">
        <is>
          <t>From investment snapshot</t>
        </is>
      </c>
    </row>
    <row r="12">
      <c r="A12" s="17" t="inlineStr">
        <is>
          <t>Cash</t>
        </is>
      </c>
      <c r="B12" s="32" t="n">
        <v>0</v>
      </c>
      <c r="C12" s="32" t="n">
        <v>0</v>
      </c>
      <c r="D12" s="17" t="inlineStr">
        <is>
          <t>Cash</t>
        </is>
      </c>
      <c r="E12" s="38" t="n"/>
      <c r="F12" s="33" t="inlineStr"/>
    </row>
    <row r="13">
      <c r="A13" s="17" t="inlineStr">
        <is>
          <t>Other</t>
        </is>
      </c>
      <c r="B13" s="32" t="n">
        <v>0</v>
      </c>
      <c r="C13" s="32" t="n">
        <v>0</v>
      </c>
      <c r="D13" s="17" t="inlineStr">
        <is>
          <t>Other</t>
        </is>
      </c>
      <c r="E13" s="38" t="n"/>
      <c r="F13" s="33" t="inlineStr"/>
    </row>
    <row r="14">
      <c r="A14" t="inlineStr">
        <is>
          <t>Total credit owed</t>
        </is>
      </c>
      <c r="B14" s="40">
        <f>SUM(C5:C13)</f>
        <v/>
      </c>
    </row>
    <row r="15">
      <c r="A15" t="inlineStr">
        <is>
          <t>Total cash-like balances</t>
        </is>
      </c>
      <c r="B15" s="41">
        <f>SUM(B5:B13)</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22" customWidth="1" min="1" max="1"/>
    <col width="22" customWidth="1" min="2" max="2"/>
    <col width="22"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INVESTMENTS</t>
        </is>
      </c>
    </row>
    <row r="2">
      <c r="A2" s="5" t="inlineStr">
        <is>
          <t>Snapshots over time. Add a new date column when you re-check balances.</t>
        </is>
      </c>
    </row>
    <row r="4">
      <c r="A4" s="2" t="inlineStr">
        <is>
          <t>Description</t>
        </is>
      </c>
      <c r="B4" s="2" t="inlineStr">
        <is>
          <t>Platform</t>
        </is>
      </c>
      <c r="C4" s="2" t="inlineStr">
        <is>
          <t>Ticker</t>
        </is>
      </c>
      <c r="D4" s="2" t="inlineStr">
        <is>
          <t>Purchase cost</t>
        </is>
      </c>
      <c r="E4" s="2" t="inlineStr">
        <is>
          <t>2025-02-01</t>
        </is>
      </c>
      <c r="F4" s="2" t="inlineStr">
        <is>
          <t>2025-09-01</t>
        </is>
      </c>
      <c r="G4" s="2" t="inlineStr">
        <is>
          <t>2026-02-01</t>
        </is>
      </c>
      <c r="H4" s="2" t="inlineStr">
        <is>
          <t>2026-06-01</t>
        </is>
      </c>
      <c r="I4" s="2" t="inlineStr">
        <is>
          <t>2026-10-01</t>
        </is>
      </c>
    </row>
    <row r="5">
      <c r="A5" s="17" t="inlineStr">
        <is>
          <t>AMPED  401k</t>
        </is>
      </c>
      <c r="B5" s="17" t="inlineStr">
        <is>
          <t>Fidelity</t>
        </is>
      </c>
      <c r="C5" s="17" t="inlineStr"/>
      <c r="D5" s="17" t="n"/>
      <c r="E5" s="32" t="n">
        <v>15163</v>
      </c>
      <c r="F5" s="32" t="n">
        <v>19445.56</v>
      </c>
      <c r="G5" s="32" t="n">
        <v>24894.63</v>
      </c>
      <c r="H5" s="32" t="n">
        <v>26311.35</v>
      </c>
      <c r="I5" s="32" t="n">
        <v>20582.94</v>
      </c>
    </row>
    <row r="6">
      <c r="A6" s="17" t="inlineStr">
        <is>
          <t>IRA</t>
        </is>
      </c>
      <c r="B6" s="17" t="inlineStr">
        <is>
          <t>Inspira</t>
        </is>
      </c>
      <c r="C6" s="17" t="inlineStr">
        <is>
          <t>VUG</t>
        </is>
      </c>
      <c r="D6" s="18" t="n">
        <v>-3795</v>
      </c>
      <c r="E6" s="32" t="n">
        <v>5874.26</v>
      </c>
      <c r="F6" s="32" t="n">
        <v>6536.87</v>
      </c>
      <c r="G6" s="32" t="n">
        <v>6495</v>
      </c>
      <c r="H6" s="32" t="n">
        <v>7403</v>
      </c>
      <c r="I6" s="32" t="n">
        <v>6717.47</v>
      </c>
    </row>
    <row r="7">
      <c r="A7" s="17" t="inlineStr">
        <is>
          <t>Individual Investment</t>
        </is>
      </c>
      <c r="B7" s="17" t="inlineStr">
        <is>
          <t>Fidelity</t>
        </is>
      </c>
      <c r="C7" s="17" t="inlineStr">
        <is>
          <t>VOO/VUG</t>
        </is>
      </c>
      <c r="D7" s="17" t="n"/>
      <c r="E7" s="32" t="n">
        <v>512.12</v>
      </c>
      <c r="F7" s="32" t="n">
        <v>556.36</v>
      </c>
      <c r="G7" s="32" t="n">
        <v>571.46</v>
      </c>
      <c r="H7" s="32" t="n">
        <v>632.36</v>
      </c>
      <c r="I7" s="32" t="n">
        <v>568.49</v>
      </c>
    </row>
    <row r="8">
      <c r="A8" s="17" t="inlineStr">
        <is>
          <t>Savings Account</t>
        </is>
      </c>
      <c r="B8" s="17" t="inlineStr">
        <is>
          <t>Ally</t>
        </is>
      </c>
      <c r="C8" s="17" t="inlineStr"/>
      <c r="D8" s="17" t="n"/>
      <c r="E8" s="32" t="n">
        <v>0</v>
      </c>
      <c r="F8" s="32" t="n">
        <v>0</v>
      </c>
      <c r="G8" s="32" t="n">
        <v>8260.620000000001</v>
      </c>
      <c r="H8" s="32" t="n">
        <v>8525.549999999999</v>
      </c>
      <c r="I8" s="32" t="n">
        <v>7375.81</v>
      </c>
    </row>
    <row r="9">
      <c r="A9" s="34" t="inlineStr">
        <is>
          <t>Total</t>
        </is>
      </c>
      <c r="E9" s="35">
        <f>SUM(E5:E8)</f>
        <v/>
      </c>
      <c r="F9" s="35">
        <f>SUM(F5:F8)</f>
        <v/>
      </c>
      <c r="G9" s="35">
        <f>SUM(G5:G8)</f>
        <v/>
      </c>
      <c r="H9" s="35">
        <f>SUM(H5:H8)</f>
        <v/>
      </c>
      <c r="I9" s="35">
        <f>SUM(I5:I8)</f>
        <v/>
      </c>
    </row>
    <row r="10">
      <c r="A10" s="5" t="inlineStr">
        <is>
          <t>% change vs prior</t>
        </is>
      </c>
      <c r="F10" s="42">
        <f>IF(E9=0,0,1-(E9/F9))</f>
        <v/>
      </c>
      <c r="G10" s="42">
        <f>IF(F9=0,0,1-(F9/G9))</f>
        <v/>
      </c>
      <c r="H10" s="42">
        <f>IF(G9=0,0,1-(G9/H9))</f>
        <v/>
      </c>
      <c r="I10" s="42">
        <f>IF(H9=0,0,1-(H9/I9))</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4"/>
  <sheetViews>
    <sheetView workbookViewId="0">
      <pane ySplit="4" topLeftCell="A5" activePane="bottomLeft" state="frozen"/>
      <selection pane="bottomLeft" activeCell="A1" sqref="A1"/>
    </sheetView>
  </sheetViews>
  <sheetFormatPr baseColWidth="8" defaultRowHeight="15"/>
  <cols>
    <col width="16" customWidth="1" min="1" max="1"/>
    <col width="42" customWidth="1" min="2" max="2"/>
    <col width="12" customWidth="1" min="3" max="3"/>
    <col width="10" customWidth="1" min="4" max="4"/>
    <col width="30" customWidth="1" min="5" max="5"/>
  </cols>
  <sheetData>
    <row r="1">
      <c r="A1" s="1" t="inlineStr">
        <is>
          <t>WISHLIST / HOME PROJECTS</t>
        </is>
      </c>
    </row>
    <row r="2">
      <c r="A2" s="5" t="inlineStr">
        <is>
          <t>Separated from spending so money logging stays clean.</t>
        </is>
      </c>
    </row>
    <row r="4">
      <c r="A4" s="2" t="inlineStr">
        <is>
          <t>Area</t>
        </is>
      </c>
      <c r="B4" s="2" t="inlineStr">
        <is>
          <t>Item</t>
        </is>
      </c>
      <c r="C4" s="2" t="inlineStr">
        <is>
          <t>Est. Price</t>
        </is>
      </c>
      <c r="D4" s="2" t="inlineStr">
        <is>
          <t>Status</t>
        </is>
      </c>
      <c r="E4" s="2" t="inlineStr">
        <is>
          <t>Notes</t>
        </is>
      </c>
    </row>
    <row r="5">
      <c r="A5" s="17" t="inlineStr">
        <is>
          <t>Living room</t>
        </is>
      </c>
      <c r="B5" s="17" t="inlineStr">
        <is>
          <t>Orxva Oak Wood Media Console</t>
        </is>
      </c>
      <c r="C5" s="18" t="n">
        <v>1900</v>
      </c>
      <c r="D5" s="38" t="inlineStr">
        <is>
          <t>Now</t>
        </is>
      </c>
      <c r="E5" s="17" t="inlineStr"/>
    </row>
    <row r="6">
      <c r="A6" s="17" t="inlineStr">
        <is>
          <t>Living room</t>
        </is>
      </c>
      <c r="B6" s="17" t="inlineStr">
        <is>
          <t>GVAWood Console</t>
        </is>
      </c>
      <c r="C6" s="18" t="n">
        <v>1300</v>
      </c>
      <c r="D6" s="38" t="inlineStr">
        <is>
          <t>Now</t>
        </is>
      </c>
      <c r="E6" s="17" t="inlineStr"/>
    </row>
    <row r="7">
      <c r="A7" s="17" t="inlineStr">
        <is>
          <t>Living room</t>
        </is>
      </c>
      <c r="B7" s="17" t="inlineStr">
        <is>
          <t>Vacuum sealed bags</t>
        </is>
      </c>
      <c r="C7" s="18" t="n">
        <v>32</v>
      </c>
      <c r="D7" s="38" t="inlineStr">
        <is>
          <t>Now</t>
        </is>
      </c>
      <c r="E7" s="17" t="inlineStr"/>
    </row>
    <row r="8">
      <c r="A8" s="17" t="inlineStr">
        <is>
          <t>Bathroom</t>
        </is>
      </c>
      <c r="B8" s="17" t="inlineStr">
        <is>
          <t>Paint Bathroom</t>
        </is>
      </c>
      <c r="C8" s="17" t="n"/>
      <c r="D8" s="38" t="inlineStr">
        <is>
          <t>Now</t>
        </is>
      </c>
      <c r="E8" s="17" t="inlineStr"/>
    </row>
    <row r="9">
      <c r="A9" s="17" t="inlineStr">
        <is>
          <t>Bathroom</t>
        </is>
      </c>
      <c r="B9" s="17" t="inlineStr">
        <is>
          <t>Do deep mold cleaning</t>
        </is>
      </c>
      <c r="C9" s="17" t="n"/>
      <c r="D9" s="38" t="inlineStr">
        <is>
          <t>Now</t>
        </is>
      </c>
      <c r="E9" s="17" t="inlineStr"/>
    </row>
    <row r="10">
      <c r="A10" s="17" t="inlineStr">
        <is>
          <t>Bathroom</t>
        </is>
      </c>
      <c r="B10" s="17" t="inlineStr">
        <is>
          <t>Waste Bin</t>
        </is>
      </c>
      <c r="C10" s="18" t="n">
        <v>30</v>
      </c>
      <c r="D10" s="38" t="inlineStr">
        <is>
          <t>Now</t>
        </is>
      </c>
      <c r="E10" s="17" t="inlineStr"/>
    </row>
    <row r="11">
      <c r="A11" s="17" t="inlineStr">
        <is>
          <t>Bathroom</t>
        </is>
      </c>
      <c r="B11" s="17" t="inlineStr">
        <is>
          <t>Recaulk bathroom</t>
        </is>
      </c>
      <c r="C11" s="17" t="n"/>
      <c r="D11" s="38" t="inlineStr">
        <is>
          <t>Now</t>
        </is>
      </c>
      <c r="E11" s="17" t="inlineStr"/>
    </row>
    <row r="12">
      <c r="A12" s="17" t="inlineStr">
        <is>
          <t>Bathroom</t>
        </is>
      </c>
      <c r="B12" s="17" t="inlineStr">
        <is>
          <t>Sunshower curtain (black)</t>
        </is>
      </c>
      <c r="C12" s="17" t="n"/>
      <c r="D12" s="38" t="inlineStr">
        <is>
          <t>Now</t>
        </is>
      </c>
      <c r="E12" s="17" t="inlineStr"/>
    </row>
    <row r="13">
      <c r="A13" s="17" t="inlineStr">
        <is>
          <t>Kitchen</t>
        </is>
      </c>
      <c r="B13" s="17" t="inlineStr">
        <is>
          <t>Clean ceiling</t>
        </is>
      </c>
      <c r="C13" s="17" t="n"/>
      <c r="D13" s="38" t="inlineStr">
        <is>
          <t>Now</t>
        </is>
      </c>
      <c r="E13" s="17" t="inlineStr"/>
    </row>
    <row r="14">
      <c r="A14" s="17" t="inlineStr">
        <is>
          <t>Kitchen</t>
        </is>
      </c>
      <c r="B14" s="17" t="inlineStr">
        <is>
          <t>Touch up black paint</t>
        </is>
      </c>
      <c r="C14" s="17" t="n"/>
      <c r="D14" s="38" t="inlineStr">
        <is>
          <t>Now</t>
        </is>
      </c>
      <c r="E14" s="17" t="inlineStr"/>
    </row>
    <row r="15">
      <c r="A15" s="17" t="inlineStr">
        <is>
          <t>Kitchen</t>
        </is>
      </c>
      <c r="B15" s="17" t="inlineStr">
        <is>
          <t>Sheet metal for credenza</t>
        </is>
      </c>
      <c r="C15" s="17" t="n"/>
      <c r="D15" s="38" t="inlineStr">
        <is>
          <t>Now</t>
        </is>
      </c>
      <c r="E15" s="17" t="inlineStr"/>
    </row>
    <row r="16">
      <c r="A16" s="17" t="inlineStr">
        <is>
          <t>Kitchen</t>
        </is>
      </c>
      <c r="B16" s="17" t="inlineStr">
        <is>
          <t>Dining chairs</t>
        </is>
      </c>
      <c r="C16" s="17" t="n"/>
      <c r="D16" s="38" t="inlineStr">
        <is>
          <t>Now</t>
        </is>
      </c>
      <c r="E16" s="17" t="inlineStr"/>
    </row>
    <row r="17">
      <c r="A17" s="17" t="inlineStr">
        <is>
          <t>Kitchen</t>
        </is>
      </c>
      <c r="B17" s="17" t="inlineStr">
        <is>
          <t>put shelfs in basemrnt</t>
        </is>
      </c>
      <c r="C17" s="17" t="n"/>
      <c r="D17" s="38" t="inlineStr">
        <is>
          <t>Now</t>
        </is>
      </c>
      <c r="E17" s="17" t="inlineStr"/>
    </row>
    <row r="18">
      <c r="A18" s="17" t="inlineStr">
        <is>
          <t>Kitchen</t>
        </is>
      </c>
      <c r="B18" s="17" t="inlineStr">
        <is>
          <t>Ikea Besta Cabinet</t>
        </is>
      </c>
      <c r="C18" s="17" t="n"/>
      <c r="D18" s="38" t="inlineStr">
        <is>
          <t>Now</t>
        </is>
      </c>
      <c r="E18" s="17" t="inlineStr"/>
    </row>
    <row r="19">
      <c r="A19" s="17" t="inlineStr">
        <is>
          <t>Kitchen</t>
        </is>
      </c>
      <c r="B19" s="17" t="inlineStr">
        <is>
          <t>Patch holes</t>
        </is>
      </c>
      <c r="C19" s="17" t="n"/>
      <c r="D19" s="38" t="inlineStr">
        <is>
          <t>Now</t>
        </is>
      </c>
      <c r="E19" s="17" t="inlineStr"/>
    </row>
    <row r="20">
      <c r="A20" s="17" t="inlineStr">
        <is>
          <t>Kitchen</t>
        </is>
      </c>
      <c r="B20" s="17" t="inlineStr">
        <is>
          <t>Paint over holes</t>
        </is>
      </c>
      <c r="C20" s="17" t="n"/>
      <c r="D20" s="38" t="inlineStr">
        <is>
          <t>Now</t>
        </is>
      </c>
      <c r="E20" s="17" t="inlineStr"/>
    </row>
    <row r="21">
      <c r="A21" s="17" t="inlineStr">
        <is>
          <t>Creative/Studio</t>
        </is>
      </c>
      <c r="B21" s="17" t="inlineStr">
        <is>
          <t>Mirror</t>
        </is>
      </c>
      <c r="C21" s="17" t="n"/>
      <c r="D21" s="38" t="inlineStr">
        <is>
          <t>Now</t>
        </is>
      </c>
      <c r="E21" s="17" t="inlineStr"/>
    </row>
    <row r="22">
      <c r="A22" s="17" t="inlineStr">
        <is>
          <t>Creative/Studio</t>
        </is>
      </c>
      <c r="B22" s="17" t="inlineStr">
        <is>
          <t>Ledge</t>
        </is>
      </c>
      <c r="C22" s="17" t="n"/>
      <c r="D22" s="38" t="inlineStr">
        <is>
          <t>Now</t>
        </is>
      </c>
      <c r="E22" s="17" t="inlineStr"/>
    </row>
    <row r="23">
      <c r="A23" s="17" t="inlineStr">
        <is>
          <t>Personal</t>
        </is>
      </c>
      <c r="B23" s="17" t="inlineStr">
        <is>
          <t>Write todo list for deep cleaining</t>
        </is>
      </c>
      <c r="C23" s="17" t="n"/>
      <c r="D23" s="38" t="inlineStr">
        <is>
          <t>Now</t>
        </is>
      </c>
      <c r="E23" s="17" t="inlineStr"/>
    </row>
    <row r="24">
      <c r="A24" s="17" t="inlineStr">
        <is>
          <t>Living room</t>
        </is>
      </c>
      <c r="B24" s="17" t="inlineStr">
        <is>
          <t>Ikea Besta frames</t>
        </is>
      </c>
      <c r="C24" s="18" t="n">
        <v>75</v>
      </c>
      <c r="D24" s="38" t="inlineStr">
        <is>
          <t>Later</t>
        </is>
      </c>
      <c r="E24" s="17" t="inlineStr"/>
    </row>
    <row r="25">
      <c r="A25" s="17" t="inlineStr">
        <is>
          <t>Living room</t>
        </is>
      </c>
      <c r="B25" s="17" t="inlineStr">
        <is>
          <t>Safavieh Grey Washable Rug (4x6) (Safavieh)</t>
        </is>
      </c>
      <c r="C25" s="18" t="n">
        <v>83</v>
      </c>
      <c r="D25" s="38" t="inlineStr">
        <is>
          <t>Later</t>
        </is>
      </c>
      <c r="E25" s="17" t="inlineStr"/>
    </row>
    <row r="26">
      <c r="A26" s="17" t="inlineStr">
        <is>
          <t>Living room</t>
        </is>
      </c>
      <c r="B26" s="17" t="inlineStr">
        <is>
          <t>Mirror</t>
        </is>
      </c>
      <c r="C26" s="17" t="n"/>
      <c r="D26" s="38" t="inlineStr">
        <is>
          <t>Later</t>
        </is>
      </c>
      <c r="E26" s="17" t="inlineStr"/>
    </row>
    <row r="27">
      <c r="A27" s="17" t="inlineStr">
        <is>
          <t>Living room</t>
        </is>
      </c>
      <c r="B27" s="17" t="inlineStr">
        <is>
          <t>Make wooden enclosure for coat closet</t>
        </is>
      </c>
      <c r="C27" s="17" t="n"/>
      <c r="D27" s="38" t="inlineStr">
        <is>
          <t>Later</t>
        </is>
      </c>
      <c r="E27" s="17" t="inlineStr"/>
    </row>
    <row r="28">
      <c r="A28" s="17" t="inlineStr">
        <is>
          <t>Kitchen</t>
        </is>
      </c>
      <c r="B28" s="17" t="inlineStr">
        <is>
          <t>Recaulk kitchen</t>
        </is>
      </c>
      <c r="C28" s="17" t="n"/>
      <c r="D28" s="38" t="inlineStr">
        <is>
          <t>Later</t>
        </is>
      </c>
      <c r="E28" s="17" t="inlineStr"/>
    </row>
    <row r="29">
      <c r="A29" s="17" t="inlineStr">
        <is>
          <t>Kitchen</t>
        </is>
      </c>
      <c r="B29" s="17" t="inlineStr">
        <is>
          <t>Plywood enclosure of washer</t>
        </is>
      </c>
      <c r="C29" s="17" t="n"/>
      <c r="D29" s="38" t="inlineStr">
        <is>
          <t>Later</t>
        </is>
      </c>
      <c r="E29" s="17" t="inlineStr"/>
    </row>
    <row r="30">
      <c r="A30" s="17" t="inlineStr">
        <is>
          <t>Kitchen</t>
        </is>
      </c>
      <c r="B30" s="17" t="inlineStr">
        <is>
          <t>Remove paint from cabinets</t>
        </is>
      </c>
      <c r="C30" s="17" t="n"/>
      <c r="D30" s="38" t="inlineStr">
        <is>
          <t>Later</t>
        </is>
      </c>
      <c r="E30" s="17" t="inlineStr"/>
    </row>
    <row r="31">
      <c r="A31" s="17" t="inlineStr">
        <is>
          <t>Kitchen</t>
        </is>
      </c>
      <c r="B31" s="17" t="inlineStr">
        <is>
          <t>Sheet metal for credenza</t>
        </is>
      </c>
      <c r="C31" s="17" t="n"/>
      <c r="D31" s="38" t="inlineStr">
        <is>
          <t>Later</t>
        </is>
      </c>
      <c r="E31" s="17" t="inlineStr"/>
    </row>
    <row r="32">
      <c r="A32" s="17" t="inlineStr">
        <is>
          <t>Kitchen</t>
        </is>
      </c>
      <c r="B32" s="17" t="inlineStr">
        <is>
          <t>Dining chairs</t>
        </is>
      </c>
      <c r="C32" s="17" t="n"/>
      <c r="D32" s="38" t="inlineStr">
        <is>
          <t>Later</t>
        </is>
      </c>
      <c r="E32" s="17" t="inlineStr"/>
    </row>
    <row r="33">
      <c r="A33" s="17" t="inlineStr">
        <is>
          <t>Kitchen</t>
        </is>
      </c>
      <c r="B33" s="17" t="inlineStr">
        <is>
          <t>put shelfs in basemrnt</t>
        </is>
      </c>
      <c r="C33" s="17" t="n"/>
      <c r="D33" s="38" t="inlineStr">
        <is>
          <t>Later</t>
        </is>
      </c>
      <c r="E33" s="17" t="inlineStr"/>
    </row>
    <row r="34">
      <c r="A34" s="17" t="inlineStr">
        <is>
          <t>Kitchen</t>
        </is>
      </c>
      <c r="B34" s="17" t="inlineStr">
        <is>
          <t>Ikea Besta Cabinet</t>
        </is>
      </c>
      <c r="C34" s="17" t="n"/>
      <c r="D34" s="38" t="inlineStr">
        <is>
          <t>Later</t>
        </is>
      </c>
      <c r="E34" s="17" t="inlineStr"/>
    </row>
    <row r="35">
      <c r="A35" s="17" t="inlineStr">
        <is>
          <t>Creative/Studio</t>
        </is>
      </c>
      <c r="B35" s="17" t="inlineStr">
        <is>
          <t>Vinyl Lab Stool</t>
        </is>
      </c>
      <c r="C35" s="18" t="n">
        <v>190</v>
      </c>
      <c r="D35" s="38" t="inlineStr">
        <is>
          <t>Later</t>
        </is>
      </c>
      <c r="E35" s="17" t="inlineStr"/>
    </row>
    <row r="36">
      <c r="A36" s="17" t="inlineStr">
        <is>
          <t>Creative/Studio</t>
        </is>
      </c>
      <c r="B36" s="17" t="inlineStr">
        <is>
          <t>Stainless Steel Sheets (2x4)</t>
        </is>
      </c>
      <c r="C36" s="18" t="n">
        <v>75</v>
      </c>
      <c r="D36" s="38" t="inlineStr">
        <is>
          <t>Later</t>
        </is>
      </c>
      <c r="E36" s="17" t="inlineStr"/>
    </row>
    <row r="37">
      <c r="A37" s="17" t="inlineStr">
        <is>
          <t>Creative/Studio</t>
        </is>
      </c>
      <c r="B37" s="17" t="inlineStr">
        <is>
          <t>2x4 Baltic Birch top</t>
        </is>
      </c>
      <c r="C37" s="18" t="n">
        <v>150</v>
      </c>
      <c r="D37" s="38" t="inlineStr">
        <is>
          <t>Later</t>
        </is>
      </c>
      <c r="E37" s="17" t="inlineStr"/>
    </row>
    <row r="38">
      <c r="A38" s="17" t="inlineStr">
        <is>
          <t>Creative/Studio</t>
        </is>
      </c>
      <c r="B38" s="17" t="inlineStr">
        <is>
          <t>XKey Midi Ctrl</t>
        </is>
      </c>
      <c r="C38" s="18" t="n">
        <v>300</v>
      </c>
      <c r="D38" s="38" t="inlineStr">
        <is>
          <t>Later</t>
        </is>
      </c>
      <c r="E38" s="17" t="inlineStr"/>
    </row>
    <row r="39">
      <c r="A39" s="17" t="inlineStr">
        <is>
          <t>Living room</t>
        </is>
      </c>
      <c r="B39" s="17" t="inlineStr">
        <is>
          <t>get a digital console piano</t>
        </is>
      </c>
      <c r="C39" s="18" t="n">
        <v>1000</v>
      </c>
      <c r="D39" s="38" t="inlineStr">
        <is>
          <t>Never</t>
        </is>
      </c>
      <c r="E39" s="17" t="inlineStr"/>
    </row>
    <row r="40">
      <c r="A40" s="17" t="inlineStr">
        <is>
          <t>Creative/Studio</t>
        </is>
      </c>
      <c r="B40" s="17" t="inlineStr">
        <is>
          <t>Ultimate keyboard support stand</t>
        </is>
      </c>
      <c r="C40" s="18" t="n">
        <v>229</v>
      </c>
      <c r="D40" s="38" t="inlineStr">
        <is>
          <t>Never</t>
        </is>
      </c>
      <c r="E40" s="17" t="inlineStr"/>
    </row>
    <row r="41">
      <c r="A41" s="17" t="inlineStr">
        <is>
          <t>Creative/Studio</t>
        </is>
      </c>
      <c r="B41" s="17" t="inlineStr">
        <is>
          <t>RX1200 sample machine plugin</t>
        </is>
      </c>
      <c r="C41" s="18" t="n">
        <v>30</v>
      </c>
      <c r="D41" s="38" t="inlineStr">
        <is>
          <t>Never</t>
        </is>
      </c>
      <c r="E41" s="17" t="inlineStr"/>
    </row>
    <row r="42">
      <c r="A42" s="17" t="inlineStr">
        <is>
          <t>Creative/Studio</t>
        </is>
      </c>
      <c r="B42" s="17" t="inlineStr">
        <is>
          <t>Apollo x4 interface (Used)</t>
        </is>
      </c>
      <c r="C42" s="18" t="n">
        <v>1200</v>
      </c>
      <c r="D42" s="38" t="inlineStr">
        <is>
          <t>Never</t>
        </is>
      </c>
      <c r="E42" s="17" t="inlineStr"/>
    </row>
    <row r="43">
      <c r="A43" s="17" t="inlineStr">
        <is>
          <t>Living room</t>
        </is>
      </c>
      <c r="B43" s="17" t="inlineStr">
        <is>
          <t>Safavieh Black Wool Rug</t>
        </is>
      </c>
      <c r="C43" s="18" t="n">
        <v>482</v>
      </c>
      <c r="D43" s="38" t="inlineStr">
        <is>
          <t>Done</t>
        </is>
      </c>
      <c r="E43" s="17" t="inlineStr"/>
    </row>
    <row r="44">
      <c r="A44" s="17" t="inlineStr">
        <is>
          <t>Living room</t>
        </is>
      </c>
      <c r="B44" s="17" t="inlineStr">
        <is>
          <t>Fix Stools</t>
        </is>
      </c>
      <c r="C44" s="17" t="n"/>
      <c r="D44" s="38" t="inlineStr">
        <is>
          <t>Done</t>
        </is>
      </c>
      <c r="E44" s="17" t="inlineStr"/>
    </row>
  </sheetData>
  <dataValidations count="1">
    <dataValidation sqref="D5:D120" showDropDown="0" showInputMessage="0" showErrorMessage="0" allowBlank="1" type="list">
      <formula1>"Now,Later,Never,Done"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Categories</t>
        </is>
      </c>
      <c r="B1" t="inlineStr">
        <is>
          <t>Accounts</t>
        </is>
      </c>
      <c r="C1" t="inlineStr">
        <is>
          <t>People</t>
        </is>
      </c>
      <c r="D1" t="inlineStr">
        <is>
          <t>Types</t>
        </is>
      </c>
      <c r="E1" t="inlineStr">
        <is>
          <t>Frequencies</t>
        </is>
      </c>
    </row>
    <row r="2">
      <c r="A2" t="inlineStr">
        <is>
          <t>Income</t>
        </is>
      </c>
      <c r="B2" t="inlineStr">
        <is>
          <t>Checking</t>
        </is>
      </c>
      <c r="C2" t="inlineStr">
        <is>
          <t>Roberto</t>
        </is>
      </c>
      <c r="D2" t="inlineStr">
        <is>
          <t>Expense</t>
        </is>
      </c>
      <c r="E2" t="inlineStr">
        <is>
          <t>Weekly</t>
        </is>
      </c>
    </row>
    <row r="3">
      <c r="A3" t="inlineStr">
        <is>
          <t>Rent</t>
        </is>
      </c>
      <c r="B3" t="inlineStr">
        <is>
          <t>Bilt</t>
        </is>
      </c>
      <c r="C3" t="inlineStr">
        <is>
          <t>Cliff</t>
        </is>
      </c>
      <c r="D3" t="inlineStr">
        <is>
          <t>Income</t>
        </is>
      </c>
      <c r="E3" t="inlineStr">
        <is>
          <t>Biweekly</t>
        </is>
      </c>
    </row>
    <row r="4">
      <c r="A4" t="inlineStr">
        <is>
          <t>Utilities</t>
        </is>
      </c>
      <c r="B4" t="inlineStr">
        <is>
          <t>Apple Card</t>
        </is>
      </c>
      <c r="C4" t="inlineStr">
        <is>
          <t>Cliff/Roberto</t>
        </is>
      </c>
      <c r="D4" t="inlineStr">
        <is>
          <t>Transfer</t>
        </is>
      </c>
      <c r="E4" t="inlineStr">
        <is>
          <t>Monthly</t>
        </is>
      </c>
    </row>
    <row r="5">
      <c r="A5" t="inlineStr">
        <is>
          <t>Subscriptions</t>
        </is>
      </c>
      <c r="B5" t="inlineStr">
        <is>
          <t>USAA Credit Card</t>
        </is>
      </c>
      <c r="C5" t="inlineStr">
        <is>
          <t>Shared</t>
        </is>
      </c>
      <c r="E5" t="inlineStr">
        <is>
          <t>Quarterly</t>
        </is>
      </c>
    </row>
    <row r="6">
      <c r="A6" t="inlineStr">
        <is>
          <t>Grocery</t>
        </is>
      </c>
      <c r="B6" t="inlineStr">
        <is>
          <t>PayPal</t>
        </is>
      </c>
      <c r="C6" t="inlineStr">
        <is>
          <t>Other</t>
        </is>
      </c>
      <c r="E6" t="inlineStr">
        <is>
          <t>Annually</t>
        </is>
      </c>
    </row>
    <row r="7">
      <c r="A7" t="inlineStr">
        <is>
          <t>Dining</t>
        </is>
      </c>
      <c r="B7" t="inlineStr">
        <is>
          <t>Klarna</t>
        </is>
      </c>
      <c r="E7" t="inlineStr">
        <is>
          <t>One-time</t>
        </is>
      </c>
    </row>
    <row r="8">
      <c r="A8" t="inlineStr">
        <is>
          <t>Transit</t>
        </is>
      </c>
      <c r="B8" t="inlineStr">
        <is>
          <t>Ally Savings</t>
        </is>
      </c>
    </row>
    <row r="9">
      <c r="A9" t="inlineStr">
        <is>
          <t>Shopping</t>
        </is>
      </c>
      <c r="B9" t="inlineStr">
        <is>
          <t>Cash</t>
        </is>
      </c>
    </row>
    <row r="10">
      <c r="A10" t="inlineStr">
        <is>
          <t>Personal</t>
        </is>
      </c>
      <c r="B10" t="inlineStr">
        <is>
          <t>Other</t>
        </is>
      </c>
    </row>
    <row r="11">
      <c r="A11" t="inlineStr">
        <is>
          <t>Home</t>
        </is>
      </c>
    </row>
    <row r="12">
      <c r="A12" t="inlineStr">
        <is>
          <t>Health</t>
        </is>
      </c>
    </row>
    <row r="13">
      <c r="A13" t="inlineStr">
        <is>
          <t>Entertainment</t>
        </is>
      </c>
    </row>
    <row r="14">
      <c r="A14" t="inlineStr">
        <is>
          <t>Savings</t>
        </is>
      </c>
    </row>
    <row r="15">
      <c r="A15" t="inlineStr">
        <is>
          <t>Transfer</t>
        </is>
      </c>
    </row>
    <row r="16">
      <c r="A16" t="inlineStr">
        <is>
          <t>Misc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2026-07-25T20:11:23Z</dcterms:created>
  <dcterms:modified xsi:type="dcterms:W3CDTF">2026-07-25T20:11:24Z</dcterms:modified>
</cp:coreProperties>
</file>